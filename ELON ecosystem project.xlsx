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mauricioanderson/Downloads/"/>
    </mc:Choice>
  </mc:AlternateContent>
  <xr:revisionPtr revIDLastSave="0" documentId="8_{689B9D79-B672-5947-B629-3E5C9F90793B}" xr6:coauthVersionLast="47" xr6:coauthVersionMax="47" xr10:uidLastSave="{00000000-0000-0000-0000-000000000000}"/>
  <bookViews>
    <workbookView xWindow="0" yWindow="0" windowWidth="28800" windowHeight="18000" firstSheet="2" activeTab="5" xr2:uid="{6FD826F1-E4B3-604D-882F-463CB649519A}"/>
  </bookViews>
  <sheets>
    <sheet name="APPENDIX" sheetId="1" r:id="rId1"/>
    <sheet name="TESLA inc. HFP  " sheetId="2" r:id="rId2"/>
    <sheet name="tesla financial modeling " sheetId="3" r:id="rId3"/>
    <sheet name="TSLA forecastin &amp; evaluation " sheetId="4" r:id="rId4"/>
    <sheet name="TSLA scenario analysis " sheetId="7" r:id="rId5"/>
    <sheet name="Financial Risk Assesment " sheetId="8" r:id="rId6"/>
  </sheets>
  <definedNames>
    <definedName name="_xlchart.v1.0" hidden="1">'Financial Risk Assesment '!$E$75</definedName>
    <definedName name="_xlchart.v1.1" hidden="1">'Financial Risk Assesment '!$E$76:$E$1075</definedName>
    <definedName name="_xlchart.v1.10" hidden="1">'Financial Risk Assesment '!$E$75</definedName>
    <definedName name="_xlchart.v1.11" hidden="1">'Financial Risk Assesment '!$E$76:$E$1075</definedName>
    <definedName name="_xlchart.v1.12" hidden="1">'Financial Risk Assesment '!$E$75</definedName>
    <definedName name="_xlchart.v1.13" hidden="1">'Financial Risk Assesment '!$E$76:$E$1075</definedName>
    <definedName name="_xlchart.v1.14" hidden="1">'Financial Risk Assesment '!$E$75</definedName>
    <definedName name="_xlchart.v1.15" hidden="1">'Financial Risk Assesment '!$E$76:$E$1075</definedName>
    <definedName name="_xlchart.v1.2" hidden="1">'Financial Risk Assesment '!$E$75</definedName>
    <definedName name="_xlchart.v1.3" hidden="1">'Financial Risk Assesment '!$E$76:$E$1075</definedName>
    <definedName name="_xlchart.v1.4" hidden="1">'Financial Risk Assesment '!$E$75</definedName>
    <definedName name="_xlchart.v1.5" hidden="1">'Financial Risk Assesment '!$E$76:$E$1075</definedName>
    <definedName name="_xlchart.v1.6" hidden="1">'Financial Risk Assesment '!$E$75</definedName>
    <definedName name="_xlchart.v1.7" hidden="1">'Financial Risk Assesment '!$E$76:$E$1075</definedName>
    <definedName name="_xlchart.v1.8" hidden="1">'Financial Risk Assesment '!$E$75</definedName>
    <definedName name="_xlchart.v1.9" hidden="1">'Financial Risk Assesment '!$E$76:$E$1075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8" l="1"/>
  <c r="H6" i="8"/>
  <c r="H7" i="8"/>
  <c r="H8" i="8"/>
  <c r="H9" i="8"/>
  <c r="H4" i="8"/>
  <c r="G5" i="8"/>
  <c r="G6" i="8"/>
  <c r="G7" i="8"/>
  <c r="G8" i="8"/>
  <c r="G9" i="8"/>
  <c r="G4" i="8"/>
  <c r="C77" i="8"/>
  <c r="D77" i="8"/>
  <c r="C78" i="8"/>
  <c r="D78" i="8"/>
  <c r="C79" i="8"/>
  <c r="D79" i="8"/>
  <c r="C80" i="8"/>
  <c r="D80" i="8"/>
  <c r="C81" i="8"/>
  <c r="D81" i="8"/>
  <c r="C82" i="8"/>
  <c r="D82" i="8"/>
  <c r="C83" i="8"/>
  <c r="D83" i="8"/>
  <c r="C84" i="8"/>
  <c r="D84" i="8"/>
  <c r="C85" i="8"/>
  <c r="D85" i="8"/>
  <c r="C86" i="8"/>
  <c r="D86" i="8"/>
  <c r="C87" i="8"/>
  <c r="D87" i="8"/>
  <c r="C88" i="8"/>
  <c r="D88" i="8"/>
  <c r="C89" i="8"/>
  <c r="D89" i="8"/>
  <c r="C90" i="8"/>
  <c r="D90" i="8"/>
  <c r="C91" i="8"/>
  <c r="D91" i="8"/>
  <c r="C92" i="8"/>
  <c r="D92" i="8"/>
  <c r="C93" i="8"/>
  <c r="D93" i="8"/>
  <c r="C94" i="8"/>
  <c r="D94" i="8"/>
  <c r="C95" i="8"/>
  <c r="D95" i="8"/>
  <c r="C96" i="8"/>
  <c r="D96" i="8"/>
  <c r="C97" i="8"/>
  <c r="D97" i="8"/>
  <c r="C98" i="8"/>
  <c r="D98" i="8"/>
  <c r="C99" i="8"/>
  <c r="D99" i="8"/>
  <c r="C100" i="8"/>
  <c r="D100" i="8"/>
  <c r="C101" i="8"/>
  <c r="D101" i="8"/>
  <c r="C102" i="8"/>
  <c r="D102" i="8"/>
  <c r="C103" i="8"/>
  <c r="D103" i="8"/>
  <c r="C104" i="8"/>
  <c r="D104" i="8"/>
  <c r="C105" i="8"/>
  <c r="D105" i="8"/>
  <c r="C106" i="8"/>
  <c r="D106" i="8"/>
  <c r="C107" i="8"/>
  <c r="D107" i="8"/>
  <c r="C108" i="8"/>
  <c r="D108" i="8"/>
  <c r="C109" i="8"/>
  <c r="D109" i="8"/>
  <c r="C110" i="8"/>
  <c r="D110" i="8"/>
  <c r="C111" i="8"/>
  <c r="D111" i="8"/>
  <c r="C112" i="8"/>
  <c r="D112" i="8"/>
  <c r="C113" i="8"/>
  <c r="D113" i="8"/>
  <c r="C114" i="8"/>
  <c r="D114" i="8"/>
  <c r="C115" i="8"/>
  <c r="D115" i="8"/>
  <c r="C116" i="8"/>
  <c r="D116" i="8"/>
  <c r="C117" i="8"/>
  <c r="D117" i="8"/>
  <c r="C118" i="8"/>
  <c r="D118" i="8"/>
  <c r="C119" i="8"/>
  <c r="D119" i="8"/>
  <c r="C120" i="8"/>
  <c r="D120" i="8"/>
  <c r="C121" i="8"/>
  <c r="D121" i="8"/>
  <c r="C122" i="8"/>
  <c r="D122" i="8"/>
  <c r="C123" i="8"/>
  <c r="D123" i="8"/>
  <c r="C124" i="8"/>
  <c r="D124" i="8"/>
  <c r="C125" i="8"/>
  <c r="D125" i="8"/>
  <c r="C126" i="8"/>
  <c r="D126" i="8"/>
  <c r="C127" i="8"/>
  <c r="D127" i="8"/>
  <c r="C128" i="8"/>
  <c r="D128" i="8"/>
  <c r="C129" i="8"/>
  <c r="D129" i="8"/>
  <c r="C130" i="8"/>
  <c r="D130" i="8"/>
  <c r="C131" i="8"/>
  <c r="D131" i="8"/>
  <c r="C132" i="8"/>
  <c r="D132" i="8"/>
  <c r="C133" i="8"/>
  <c r="D133" i="8"/>
  <c r="C134" i="8"/>
  <c r="D134" i="8"/>
  <c r="C135" i="8"/>
  <c r="D135" i="8"/>
  <c r="C136" i="8"/>
  <c r="D136" i="8"/>
  <c r="C137" i="8"/>
  <c r="D137" i="8"/>
  <c r="C138" i="8"/>
  <c r="D138" i="8"/>
  <c r="C139" i="8"/>
  <c r="D139" i="8"/>
  <c r="C140" i="8"/>
  <c r="D140" i="8"/>
  <c r="C141" i="8"/>
  <c r="D141" i="8"/>
  <c r="C142" i="8"/>
  <c r="D142" i="8"/>
  <c r="C143" i="8"/>
  <c r="D143" i="8"/>
  <c r="C144" i="8"/>
  <c r="D144" i="8"/>
  <c r="C145" i="8"/>
  <c r="D145" i="8"/>
  <c r="C146" i="8"/>
  <c r="D146" i="8"/>
  <c r="C147" i="8"/>
  <c r="D147" i="8"/>
  <c r="C148" i="8"/>
  <c r="D148" i="8"/>
  <c r="C149" i="8"/>
  <c r="D149" i="8"/>
  <c r="C150" i="8"/>
  <c r="D150" i="8"/>
  <c r="C151" i="8"/>
  <c r="D151" i="8"/>
  <c r="C152" i="8"/>
  <c r="D152" i="8"/>
  <c r="C153" i="8"/>
  <c r="D153" i="8"/>
  <c r="C154" i="8"/>
  <c r="D154" i="8"/>
  <c r="C155" i="8"/>
  <c r="D155" i="8"/>
  <c r="C156" i="8"/>
  <c r="D156" i="8"/>
  <c r="C157" i="8"/>
  <c r="D157" i="8"/>
  <c r="C158" i="8"/>
  <c r="D158" i="8"/>
  <c r="C159" i="8"/>
  <c r="D159" i="8"/>
  <c r="C160" i="8"/>
  <c r="D160" i="8"/>
  <c r="C161" i="8"/>
  <c r="D161" i="8"/>
  <c r="C162" i="8"/>
  <c r="D162" i="8"/>
  <c r="C163" i="8"/>
  <c r="D163" i="8"/>
  <c r="C164" i="8"/>
  <c r="D164" i="8"/>
  <c r="C165" i="8"/>
  <c r="D165" i="8"/>
  <c r="C166" i="8"/>
  <c r="D166" i="8"/>
  <c r="C167" i="8"/>
  <c r="D167" i="8"/>
  <c r="C168" i="8"/>
  <c r="D168" i="8"/>
  <c r="C169" i="8"/>
  <c r="D169" i="8"/>
  <c r="C170" i="8"/>
  <c r="D170" i="8"/>
  <c r="C171" i="8"/>
  <c r="D171" i="8"/>
  <c r="C172" i="8"/>
  <c r="D172" i="8"/>
  <c r="C173" i="8"/>
  <c r="D173" i="8"/>
  <c r="C174" i="8"/>
  <c r="D174" i="8"/>
  <c r="C175" i="8"/>
  <c r="D175" i="8"/>
  <c r="C176" i="8"/>
  <c r="D176" i="8"/>
  <c r="C177" i="8"/>
  <c r="D177" i="8"/>
  <c r="C178" i="8"/>
  <c r="D178" i="8"/>
  <c r="C179" i="8"/>
  <c r="D179" i="8"/>
  <c r="C180" i="8"/>
  <c r="D180" i="8"/>
  <c r="C181" i="8"/>
  <c r="D181" i="8"/>
  <c r="C182" i="8"/>
  <c r="D182" i="8"/>
  <c r="C183" i="8"/>
  <c r="D183" i="8"/>
  <c r="C184" i="8"/>
  <c r="D184" i="8"/>
  <c r="C185" i="8"/>
  <c r="D185" i="8"/>
  <c r="C186" i="8"/>
  <c r="D186" i="8"/>
  <c r="C187" i="8"/>
  <c r="D187" i="8"/>
  <c r="C188" i="8"/>
  <c r="D188" i="8"/>
  <c r="C189" i="8"/>
  <c r="D189" i="8"/>
  <c r="C190" i="8"/>
  <c r="D190" i="8"/>
  <c r="C191" i="8"/>
  <c r="D191" i="8"/>
  <c r="C192" i="8"/>
  <c r="D192" i="8"/>
  <c r="C193" i="8"/>
  <c r="D193" i="8"/>
  <c r="C194" i="8"/>
  <c r="D194" i="8"/>
  <c r="C195" i="8"/>
  <c r="D195" i="8"/>
  <c r="C196" i="8"/>
  <c r="D196" i="8"/>
  <c r="C197" i="8"/>
  <c r="D197" i="8"/>
  <c r="C198" i="8"/>
  <c r="D198" i="8"/>
  <c r="C199" i="8"/>
  <c r="D199" i="8"/>
  <c r="C200" i="8"/>
  <c r="D200" i="8"/>
  <c r="C201" i="8"/>
  <c r="D201" i="8"/>
  <c r="C202" i="8"/>
  <c r="D202" i="8"/>
  <c r="C203" i="8"/>
  <c r="D203" i="8"/>
  <c r="C204" i="8"/>
  <c r="D204" i="8"/>
  <c r="C205" i="8"/>
  <c r="D205" i="8"/>
  <c r="C206" i="8"/>
  <c r="D206" i="8"/>
  <c r="C207" i="8"/>
  <c r="D207" i="8"/>
  <c r="C208" i="8"/>
  <c r="D208" i="8"/>
  <c r="C209" i="8"/>
  <c r="D209" i="8"/>
  <c r="C210" i="8"/>
  <c r="D210" i="8"/>
  <c r="C211" i="8"/>
  <c r="D211" i="8"/>
  <c r="C212" i="8"/>
  <c r="D212" i="8"/>
  <c r="C213" i="8"/>
  <c r="D213" i="8"/>
  <c r="C214" i="8"/>
  <c r="D214" i="8"/>
  <c r="C215" i="8"/>
  <c r="D215" i="8"/>
  <c r="C216" i="8"/>
  <c r="D216" i="8"/>
  <c r="C217" i="8"/>
  <c r="D217" i="8"/>
  <c r="C218" i="8"/>
  <c r="D218" i="8"/>
  <c r="C219" i="8"/>
  <c r="D219" i="8"/>
  <c r="C220" i="8"/>
  <c r="D220" i="8"/>
  <c r="C221" i="8"/>
  <c r="D221" i="8"/>
  <c r="C222" i="8"/>
  <c r="D222" i="8"/>
  <c r="C223" i="8"/>
  <c r="D223" i="8"/>
  <c r="C224" i="8"/>
  <c r="D224" i="8"/>
  <c r="C225" i="8"/>
  <c r="D225" i="8"/>
  <c r="C226" i="8"/>
  <c r="D226" i="8"/>
  <c r="C227" i="8"/>
  <c r="D227" i="8"/>
  <c r="C228" i="8"/>
  <c r="D228" i="8"/>
  <c r="C229" i="8"/>
  <c r="D229" i="8"/>
  <c r="C230" i="8"/>
  <c r="D230" i="8"/>
  <c r="C231" i="8"/>
  <c r="D231" i="8"/>
  <c r="C232" i="8"/>
  <c r="D232" i="8"/>
  <c r="C233" i="8"/>
  <c r="D233" i="8"/>
  <c r="C234" i="8"/>
  <c r="D234" i="8"/>
  <c r="C235" i="8"/>
  <c r="D235" i="8"/>
  <c r="C236" i="8"/>
  <c r="D236" i="8"/>
  <c r="C237" i="8"/>
  <c r="D237" i="8"/>
  <c r="C238" i="8"/>
  <c r="D238" i="8"/>
  <c r="C239" i="8"/>
  <c r="D239" i="8"/>
  <c r="C240" i="8"/>
  <c r="D240" i="8"/>
  <c r="C241" i="8"/>
  <c r="D241" i="8"/>
  <c r="C242" i="8"/>
  <c r="D242" i="8"/>
  <c r="C243" i="8"/>
  <c r="D243" i="8"/>
  <c r="C244" i="8"/>
  <c r="D244" i="8"/>
  <c r="C245" i="8"/>
  <c r="D245" i="8"/>
  <c r="C246" i="8"/>
  <c r="D246" i="8"/>
  <c r="C247" i="8"/>
  <c r="D247" i="8"/>
  <c r="C248" i="8"/>
  <c r="D248" i="8"/>
  <c r="C249" i="8"/>
  <c r="D249" i="8"/>
  <c r="C250" i="8"/>
  <c r="D250" i="8"/>
  <c r="C251" i="8"/>
  <c r="D251" i="8"/>
  <c r="C252" i="8"/>
  <c r="D252" i="8"/>
  <c r="C253" i="8"/>
  <c r="D253" i="8"/>
  <c r="C254" i="8"/>
  <c r="D254" i="8"/>
  <c r="C255" i="8"/>
  <c r="D255" i="8"/>
  <c r="C256" i="8"/>
  <c r="D256" i="8"/>
  <c r="C257" i="8"/>
  <c r="D257" i="8"/>
  <c r="C258" i="8"/>
  <c r="D258" i="8"/>
  <c r="C259" i="8"/>
  <c r="D259" i="8"/>
  <c r="C260" i="8"/>
  <c r="D260" i="8"/>
  <c r="C261" i="8"/>
  <c r="D261" i="8"/>
  <c r="C262" i="8"/>
  <c r="D262" i="8"/>
  <c r="C263" i="8"/>
  <c r="D263" i="8"/>
  <c r="C264" i="8"/>
  <c r="D264" i="8"/>
  <c r="C265" i="8"/>
  <c r="D265" i="8"/>
  <c r="C266" i="8"/>
  <c r="D266" i="8"/>
  <c r="C267" i="8"/>
  <c r="D267" i="8"/>
  <c r="C268" i="8"/>
  <c r="D268" i="8"/>
  <c r="C269" i="8"/>
  <c r="D269" i="8"/>
  <c r="C270" i="8"/>
  <c r="D270" i="8"/>
  <c r="C271" i="8"/>
  <c r="D271" i="8"/>
  <c r="C272" i="8"/>
  <c r="D272" i="8"/>
  <c r="C273" i="8"/>
  <c r="D273" i="8"/>
  <c r="C274" i="8"/>
  <c r="D274" i="8"/>
  <c r="C275" i="8"/>
  <c r="D275" i="8"/>
  <c r="C276" i="8"/>
  <c r="D276" i="8"/>
  <c r="C277" i="8"/>
  <c r="D277" i="8"/>
  <c r="C278" i="8"/>
  <c r="D278" i="8"/>
  <c r="C279" i="8"/>
  <c r="D279" i="8"/>
  <c r="C280" i="8"/>
  <c r="D280" i="8"/>
  <c r="C281" i="8"/>
  <c r="D281" i="8"/>
  <c r="C282" i="8"/>
  <c r="D282" i="8"/>
  <c r="C283" i="8"/>
  <c r="D283" i="8"/>
  <c r="C284" i="8"/>
  <c r="D284" i="8"/>
  <c r="C285" i="8"/>
  <c r="D285" i="8"/>
  <c r="C286" i="8"/>
  <c r="D286" i="8"/>
  <c r="C287" i="8"/>
  <c r="D287" i="8"/>
  <c r="C288" i="8"/>
  <c r="D288" i="8"/>
  <c r="C289" i="8"/>
  <c r="D289" i="8"/>
  <c r="C290" i="8"/>
  <c r="D290" i="8"/>
  <c r="C291" i="8"/>
  <c r="D291" i="8"/>
  <c r="C292" i="8"/>
  <c r="D292" i="8"/>
  <c r="C293" i="8"/>
  <c r="D293" i="8"/>
  <c r="C294" i="8"/>
  <c r="D294" i="8"/>
  <c r="C295" i="8"/>
  <c r="D295" i="8"/>
  <c r="C296" i="8"/>
  <c r="D296" i="8"/>
  <c r="C297" i="8"/>
  <c r="D297" i="8"/>
  <c r="C298" i="8"/>
  <c r="D298" i="8"/>
  <c r="C299" i="8"/>
  <c r="D299" i="8"/>
  <c r="C300" i="8"/>
  <c r="D300" i="8"/>
  <c r="C301" i="8"/>
  <c r="D301" i="8"/>
  <c r="C302" i="8"/>
  <c r="D302" i="8"/>
  <c r="C303" i="8"/>
  <c r="D303" i="8"/>
  <c r="C304" i="8"/>
  <c r="D304" i="8"/>
  <c r="C305" i="8"/>
  <c r="D305" i="8"/>
  <c r="C306" i="8"/>
  <c r="D306" i="8"/>
  <c r="C307" i="8"/>
  <c r="D307" i="8"/>
  <c r="C308" i="8"/>
  <c r="D308" i="8"/>
  <c r="C309" i="8"/>
  <c r="D309" i="8"/>
  <c r="C310" i="8"/>
  <c r="D310" i="8"/>
  <c r="C311" i="8"/>
  <c r="D311" i="8"/>
  <c r="C312" i="8"/>
  <c r="D312" i="8"/>
  <c r="C313" i="8"/>
  <c r="D313" i="8"/>
  <c r="C314" i="8"/>
  <c r="D314" i="8"/>
  <c r="C315" i="8"/>
  <c r="D315" i="8"/>
  <c r="C316" i="8"/>
  <c r="D316" i="8"/>
  <c r="C317" i="8"/>
  <c r="D317" i="8"/>
  <c r="C318" i="8"/>
  <c r="D318" i="8"/>
  <c r="C319" i="8"/>
  <c r="D319" i="8"/>
  <c r="C320" i="8"/>
  <c r="D320" i="8"/>
  <c r="C321" i="8"/>
  <c r="D321" i="8"/>
  <c r="C322" i="8"/>
  <c r="D322" i="8"/>
  <c r="C323" i="8"/>
  <c r="D323" i="8"/>
  <c r="C324" i="8"/>
  <c r="D324" i="8"/>
  <c r="C325" i="8"/>
  <c r="D325" i="8"/>
  <c r="C326" i="8"/>
  <c r="D326" i="8"/>
  <c r="C327" i="8"/>
  <c r="D327" i="8"/>
  <c r="C328" i="8"/>
  <c r="D328" i="8"/>
  <c r="C329" i="8"/>
  <c r="D329" i="8"/>
  <c r="C330" i="8"/>
  <c r="D330" i="8"/>
  <c r="C331" i="8"/>
  <c r="D331" i="8"/>
  <c r="C332" i="8"/>
  <c r="D332" i="8"/>
  <c r="C333" i="8"/>
  <c r="D333" i="8"/>
  <c r="C334" i="8"/>
  <c r="D334" i="8"/>
  <c r="C335" i="8"/>
  <c r="D335" i="8"/>
  <c r="C336" i="8"/>
  <c r="D336" i="8"/>
  <c r="C337" i="8"/>
  <c r="D337" i="8"/>
  <c r="C338" i="8"/>
  <c r="D338" i="8"/>
  <c r="C339" i="8"/>
  <c r="D339" i="8"/>
  <c r="C340" i="8"/>
  <c r="D340" i="8"/>
  <c r="C341" i="8"/>
  <c r="D341" i="8"/>
  <c r="C342" i="8"/>
  <c r="D342" i="8"/>
  <c r="C343" i="8"/>
  <c r="D343" i="8"/>
  <c r="C344" i="8"/>
  <c r="D344" i="8"/>
  <c r="C345" i="8"/>
  <c r="D345" i="8"/>
  <c r="C346" i="8"/>
  <c r="D346" i="8"/>
  <c r="C347" i="8"/>
  <c r="D347" i="8"/>
  <c r="C348" i="8"/>
  <c r="D348" i="8"/>
  <c r="C349" i="8"/>
  <c r="D349" i="8"/>
  <c r="C350" i="8"/>
  <c r="D350" i="8"/>
  <c r="C351" i="8"/>
  <c r="D351" i="8"/>
  <c r="C352" i="8"/>
  <c r="D352" i="8"/>
  <c r="C353" i="8"/>
  <c r="D353" i="8"/>
  <c r="C354" i="8"/>
  <c r="D354" i="8"/>
  <c r="C355" i="8"/>
  <c r="D355" i="8"/>
  <c r="C356" i="8"/>
  <c r="D356" i="8"/>
  <c r="C357" i="8"/>
  <c r="D357" i="8"/>
  <c r="C358" i="8"/>
  <c r="D358" i="8"/>
  <c r="C359" i="8"/>
  <c r="D359" i="8"/>
  <c r="C360" i="8"/>
  <c r="D360" i="8"/>
  <c r="C361" i="8"/>
  <c r="D361" i="8"/>
  <c r="C362" i="8"/>
  <c r="D362" i="8"/>
  <c r="C363" i="8"/>
  <c r="D363" i="8"/>
  <c r="C364" i="8"/>
  <c r="D364" i="8"/>
  <c r="C365" i="8"/>
  <c r="D365" i="8"/>
  <c r="C366" i="8"/>
  <c r="D366" i="8"/>
  <c r="C367" i="8"/>
  <c r="D367" i="8"/>
  <c r="C368" i="8"/>
  <c r="D368" i="8"/>
  <c r="C369" i="8"/>
  <c r="D369" i="8"/>
  <c r="C370" i="8"/>
  <c r="D370" i="8"/>
  <c r="C371" i="8"/>
  <c r="D371" i="8"/>
  <c r="C372" i="8"/>
  <c r="D372" i="8"/>
  <c r="C373" i="8"/>
  <c r="D373" i="8"/>
  <c r="C374" i="8"/>
  <c r="D374" i="8"/>
  <c r="C375" i="8"/>
  <c r="D375" i="8"/>
  <c r="C376" i="8"/>
  <c r="D376" i="8"/>
  <c r="C377" i="8"/>
  <c r="D377" i="8"/>
  <c r="C378" i="8"/>
  <c r="D378" i="8"/>
  <c r="C379" i="8"/>
  <c r="D379" i="8"/>
  <c r="C380" i="8"/>
  <c r="D380" i="8"/>
  <c r="C381" i="8"/>
  <c r="D381" i="8"/>
  <c r="C382" i="8"/>
  <c r="D382" i="8"/>
  <c r="C383" i="8"/>
  <c r="D383" i="8"/>
  <c r="C384" i="8"/>
  <c r="D384" i="8"/>
  <c r="C385" i="8"/>
  <c r="D385" i="8"/>
  <c r="C386" i="8"/>
  <c r="D386" i="8"/>
  <c r="C387" i="8"/>
  <c r="D387" i="8"/>
  <c r="C388" i="8"/>
  <c r="D388" i="8"/>
  <c r="C389" i="8"/>
  <c r="D389" i="8"/>
  <c r="C390" i="8"/>
  <c r="D390" i="8"/>
  <c r="C391" i="8"/>
  <c r="D391" i="8"/>
  <c r="C392" i="8"/>
  <c r="D392" i="8"/>
  <c r="C393" i="8"/>
  <c r="D393" i="8"/>
  <c r="C394" i="8"/>
  <c r="D394" i="8"/>
  <c r="C395" i="8"/>
  <c r="D395" i="8"/>
  <c r="C396" i="8"/>
  <c r="D396" i="8"/>
  <c r="C397" i="8"/>
  <c r="D397" i="8"/>
  <c r="C398" i="8"/>
  <c r="D398" i="8"/>
  <c r="C399" i="8"/>
  <c r="D399" i="8"/>
  <c r="C400" i="8"/>
  <c r="D400" i="8"/>
  <c r="C401" i="8"/>
  <c r="D401" i="8"/>
  <c r="C402" i="8"/>
  <c r="D402" i="8"/>
  <c r="C403" i="8"/>
  <c r="D403" i="8"/>
  <c r="C404" i="8"/>
  <c r="D404" i="8"/>
  <c r="C405" i="8"/>
  <c r="D405" i="8"/>
  <c r="C406" i="8"/>
  <c r="D406" i="8"/>
  <c r="C407" i="8"/>
  <c r="D407" i="8"/>
  <c r="C408" i="8"/>
  <c r="D408" i="8"/>
  <c r="C409" i="8"/>
  <c r="D409" i="8"/>
  <c r="C410" i="8"/>
  <c r="D410" i="8"/>
  <c r="C411" i="8"/>
  <c r="D411" i="8"/>
  <c r="C412" i="8"/>
  <c r="D412" i="8"/>
  <c r="C413" i="8"/>
  <c r="D413" i="8"/>
  <c r="C414" i="8"/>
  <c r="D414" i="8"/>
  <c r="C415" i="8"/>
  <c r="D415" i="8"/>
  <c r="C416" i="8"/>
  <c r="D416" i="8"/>
  <c r="C417" i="8"/>
  <c r="D417" i="8"/>
  <c r="C418" i="8"/>
  <c r="D418" i="8"/>
  <c r="C419" i="8"/>
  <c r="D419" i="8"/>
  <c r="C420" i="8"/>
  <c r="D420" i="8"/>
  <c r="C421" i="8"/>
  <c r="D421" i="8"/>
  <c r="C422" i="8"/>
  <c r="D422" i="8"/>
  <c r="C423" i="8"/>
  <c r="D423" i="8"/>
  <c r="C424" i="8"/>
  <c r="D424" i="8"/>
  <c r="C425" i="8"/>
  <c r="D425" i="8"/>
  <c r="C426" i="8"/>
  <c r="D426" i="8"/>
  <c r="C427" i="8"/>
  <c r="D427" i="8"/>
  <c r="C428" i="8"/>
  <c r="D428" i="8"/>
  <c r="C429" i="8"/>
  <c r="D429" i="8"/>
  <c r="C430" i="8"/>
  <c r="D430" i="8"/>
  <c r="C431" i="8"/>
  <c r="D431" i="8"/>
  <c r="C432" i="8"/>
  <c r="D432" i="8"/>
  <c r="C433" i="8"/>
  <c r="D433" i="8"/>
  <c r="C434" i="8"/>
  <c r="D434" i="8"/>
  <c r="C435" i="8"/>
  <c r="D435" i="8"/>
  <c r="C436" i="8"/>
  <c r="D436" i="8"/>
  <c r="C437" i="8"/>
  <c r="D437" i="8"/>
  <c r="C438" i="8"/>
  <c r="D438" i="8"/>
  <c r="C439" i="8"/>
  <c r="D439" i="8"/>
  <c r="C440" i="8"/>
  <c r="D440" i="8"/>
  <c r="C441" i="8"/>
  <c r="D441" i="8"/>
  <c r="C442" i="8"/>
  <c r="D442" i="8"/>
  <c r="C443" i="8"/>
  <c r="D443" i="8"/>
  <c r="C444" i="8"/>
  <c r="D444" i="8"/>
  <c r="C445" i="8"/>
  <c r="D445" i="8"/>
  <c r="C446" i="8"/>
  <c r="D446" i="8"/>
  <c r="C447" i="8"/>
  <c r="D447" i="8"/>
  <c r="C448" i="8"/>
  <c r="D448" i="8"/>
  <c r="C449" i="8"/>
  <c r="D449" i="8"/>
  <c r="C450" i="8"/>
  <c r="D450" i="8"/>
  <c r="C451" i="8"/>
  <c r="D451" i="8"/>
  <c r="C452" i="8"/>
  <c r="D452" i="8"/>
  <c r="C453" i="8"/>
  <c r="D453" i="8"/>
  <c r="C454" i="8"/>
  <c r="D454" i="8"/>
  <c r="C455" i="8"/>
  <c r="D455" i="8"/>
  <c r="C456" i="8"/>
  <c r="D456" i="8"/>
  <c r="C457" i="8"/>
  <c r="D457" i="8"/>
  <c r="C458" i="8"/>
  <c r="D458" i="8"/>
  <c r="C459" i="8"/>
  <c r="D459" i="8"/>
  <c r="C460" i="8"/>
  <c r="D460" i="8"/>
  <c r="C461" i="8"/>
  <c r="D461" i="8"/>
  <c r="C462" i="8"/>
  <c r="D462" i="8"/>
  <c r="C463" i="8"/>
  <c r="D463" i="8"/>
  <c r="C464" i="8"/>
  <c r="D464" i="8"/>
  <c r="C465" i="8"/>
  <c r="D465" i="8"/>
  <c r="C466" i="8"/>
  <c r="D466" i="8"/>
  <c r="C467" i="8"/>
  <c r="D467" i="8"/>
  <c r="C468" i="8"/>
  <c r="D468" i="8"/>
  <c r="C469" i="8"/>
  <c r="D469" i="8"/>
  <c r="C470" i="8"/>
  <c r="D470" i="8"/>
  <c r="C471" i="8"/>
  <c r="D471" i="8"/>
  <c r="C472" i="8"/>
  <c r="D472" i="8"/>
  <c r="C473" i="8"/>
  <c r="D473" i="8"/>
  <c r="C474" i="8"/>
  <c r="D474" i="8"/>
  <c r="C475" i="8"/>
  <c r="D475" i="8"/>
  <c r="C476" i="8"/>
  <c r="D476" i="8"/>
  <c r="C477" i="8"/>
  <c r="D477" i="8"/>
  <c r="C478" i="8"/>
  <c r="D478" i="8"/>
  <c r="C479" i="8"/>
  <c r="D479" i="8"/>
  <c r="C480" i="8"/>
  <c r="D480" i="8"/>
  <c r="C481" i="8"/>
  <c r="D481" i="8"/>
  <c r="C482" i="8"/>
  <c r="D482" i="8"/>
  <c r="C483" i="8"/>
  <c r="D483" i="8"/>
  <c r="C484" i="8"/>
  <c r="D484" i="8"/>
  <c r="C485" i="8"/>
  <c r="D485" i="8"/>
  <c r="C486" i="8"/>
  <c r="D486" i="8"/>
  <c r="C487" i="8"/>
  <c r="D487" i="8"/>
  <c r="C488" i="8"/>
  <c r="D488" i="8"/>
  <c r="C489" i="8"/>
  <c r="D489" i="8"/>
  <c r="C490" i="8"/>
  <c r="D490" i="8"/>
  <c r="C491" i="8"/>
  <c r="D491" i="8"/>
  <c r="C492" i="8"/>
  <c r="D492" i="8"/>
  <c r="C493" i="8"/>
  <c r="D493" i="8"/>
  <c r="C494" i="8"/>
  <c r="D494" i="8"/>
  <c r="C495" i="8"/>
  <c r="D495" i="8"/>
  <c r="C496" i="8"/>
  <c r="D496" i="8"/>
  <c r="C497" i="8"/>
  <c r="D497" i="8"/>
  <c r="C498" i="8"/>
  <c r="D498" i="8"/>
  <c r="C499" i="8"/>
  <c r="D499" i="8"/>
  <c r="C500" i="8"/>
  <c r="D500" i="8"/>
  <c r="C501" i="8"/>
  <c r="D501" i="8"/>
  <c r="C502" i="8"/>
  <c r="D502" i="8"/>
  <c r="C503" i="8"/>
  <c r="D503" i="8"/>
  <c r="C504" i="8"/>
  <c r="D504" i="8"/>
  <c r="C505" i="8"/>
  <c r="D505" i="8"/>
  <c r="C506" i="8"/>
  <c r="D506" i="8"/>
  <c r="C507" i="8"/>
  <c r="D507" i="8"/>
  <c r="C508" i="8"/>
  <c r="D508" i="8"/>
  <c r="C509" i="8"/>
  <c r="D509" i="8"/>
  <c r="C510" i="8"/>
  <c r="D510" i="8"/>
  <c r="C511" i="8"/>
  <c r="D511" i="8"/>
  <c r="C512" i="8"/>
  <c r="D512" i="8"/>
  <c r="C513" i="8"/>
  <c r="D513" i="8"/>
  <c r="C514" i="8"/>
  <c r="D514" i="8"/>
  <c r="C515" i="8"/>
  <c r="D515" i="8"/>
  <c r="C516" i="8"/>
  <c r="D516" i="8"/>
  <c r="C517" i="8"/>
  <c r="D517" i="8"/>
  <c r="C518" i="8"/>
  <c r="D518" i="8"/>
  <c r="C519" i="8"/>
  <c r="D519" i="8"/>
  <c r="C520" i="8"/>
  <c r="D520" i="8"/>
  <c r="C521" i="8"/>
  <c r="D521" i="8"/>
  <c r="C522" i="8"/>
  <c r="D522" i="8"/>
  <c r="C523" i="8"/>
  <c r="D523" i="8"/>
  <c r="C524" i="8"/>
  <c r="D524" i="8"/>
  <c r="C525" i="8"/>
  <c r="D525" i="8"/>
  <c r="C526" i="8"/>
  <c r="D526" i="8"/>
  <c r="C527" i="8"/>
  <c r="D527" i="8"/>
  <c r="C528" i="8"/>
  <c r="D528" i="8"/>
  <c r="C529" i="8"/>
  <c r="D529" i="8"/>
  <c r="C530" i="8"/>
  <c r="D530" i="8"/>
  <c r="C531" i="8"/>
  <c r="D531" i="8"/>
  <c r="C532" i="8"/>
  <c r="D532" i="8"/>
  <c r="C533" i="8"/>
  <c r="D533" i="8"/>
  <c r="C534" i="8"/>
  <c r="D534" i="8"/>
  <c r="C535" i="8"/>
  <c r="D535" i="8"/>
  <c r="C536" i="8"/>
  <c r="D536" i="8"/>
  <c r="C537" i="8"/>
  <c r="D537" i="8"/>
  <c r="C538" i="8"/>
  <c r="D538" i="8"/>
  <c r="C539" i="8"/>
  <c r="D539" i="8"/>
  <c r="C540" i="8"/>
  <c r="D540" i="8"/>
  <c r="C541" i="8"/>
  <c r="D541" i="8"/>
  <c r="C542" i="8"/>
  <c r="D542" i="8"/>
  <c r="C543" i="8"/>
  <c r="D543" i="8"/>
  <c r="C544" i="8"/>
  <c r="D544" i="8"/>
  <c r="C545" i="8"/>
  <c r="D545" i="8"/>
  <c r="C546" i="8"/>
  <c r="D546" i="8"/>
  <c r="C547" i="8"/>
  <c r="D547" i="8"/>
  <c r="C548" i="8"/>
  <c r="D548" i="8"/>
  <c r="C549" i="8"/>
  <c r="D549" i="8"/>
  <c r="C550" i="8"/>
  <c r="D550" i="8"/>
  <c r="C551" i="8"/>
  <c r="D551" i="8"/>
  <c r="C552" i="8"/>
  <c r="D552" i="8"/>
  <c r="C553" i="8"/>
  <c r="D553" i="8"/>
  <c r="C554" i="8"/>
  <c r="D554" i="8"/>
  <c r="C555" i="8"/>
  <c r="D555" i="8"/>
  <c r="C556" i="8"/>
  <c r="D556" i="8"/>
  <c r="C557" i="8"/>
  <c r="D557" i="8"/>
  <c r="C558" i="8"/>
  <c r="D558" i="8"/>
  <c r="C559" i="8"/>
  <c r="D559" i="8"/>
  <c r="C560" i="8"/>
  <c r="D560" i="8"/>
  <c r="C561" i="8"/>
  <c r="D561" i="8"/>
  <c r="C562" i="8"/>
  <c r="D562" i="8"/>
  <c r="C563" i="8"/>
  <c r="D563" i="8"/>
  <c r="C564" i="8"/>
  <c r="D564" i="8"/>
  <c r="C565" i="8"/>
  <c r="D565" i="8"/>
  <c r="C566" i="8"/>
  <c r="D566" i="8"/>
  <c r="C567" i="8"/>
  <c r="D567" i="8"/>
  <c r="C568" i="8"/>
  <c r="D568" i="8"/>
  <c r="C569" i="8"/>
  <c r="D569" i="8"/>
  <c r="C570" i="8"/>
  <c r="D570" i="8"/>
  <c r="C571" i="8"/>
  <c r="D571" i="8"/>
  <c r="C572" i="8"/>
  <c r="D572" i="8"/>
  <c r="C573" i="8"/>
  <c r="D573" i="8"/>
  <c r="C574" i="8"/>
  <c r="D574" i="8"/>
  <c r="C575" i="8"/>
  <c r="D575" i="8"/>
  <c r="C576" i="8"/>
  <c r="D576" i="8"/>
  <c r="C577" i="8"/>
  <c r="D577" i="8"/>
  <c r="C578" i="8"/>
  <c r="D578" i="8"/>
  <c r="C579" i="8"/>
  <c r="D579" i="8"/>
  <c r="C580" i="8"/>
  <c r="D580" i="8"/>
  <c r="C581" i="8"/>
  <c r="D581" i="8"/>
  <c r="C582" i="8"/>
  <c r="D582" i="8"/>
  <c r="C583" i="8"/>
  <c r="D583" i="8"/>
  <c r="C584" i="8"/>
  <c r="D584" i="8"/>
  <c r="C585" i="8"/>
  <c r="D585" i="8"/>
  <c r="C586" i="8"/>
  <c r="D586" i="8"/>
  <c r="C587" i="8"/>
  <c r="D587" i="8"/>
  <c r="C588" i="8"/>
  <c r="D588" i="8"/>
  <c r="C589" i="8"/>
  <c r="D589" i="8"/>
  <c r="C590" i="8"/>
  <c r="D590" i="8"/>
  <c r="C591" i="8"/>
  <c r="D591" i="8"/>
  <c r="C592" i="8"/>
  <c r="D592" i="8"/>
  <c r="C593" i="8"/>
  <c r="D593" i="8"/>
  <c r="C594" i="8"/>
  <c r="D594" i="8"/>
  <c r="C595" i="8"/>
  <c r="D595" i="8"/>
  <c r="C596" i="8"/>
  <c r="D596" i="8"/>
  <c r="C597" i="8"/>
  <c r="D597" i="8"/>
  <c r="C598" i="8"/>
  <c r="D598" i="8"/>
  <c r="C599" i="8"/>
  <c r="D599" i="8"/>
  <c r="C600" i="8"/>
  <c r="D600" i="8"/>
  <c r="C601" i="8"/>
  <c r="D601" i="8"/>
  <c r="C602" i="8"/>
  <c r="D602" i="8"/>
  <c r="C603" i="8"/>
  <c r="D603" i="8"/>
  <c r="C604" i="8"/>
  <c r="D604" i="8"/>
  <c r="C605" i="8"/>
  <c r="D605" i="8"/>
  <c r="C606" i="8"/>
  <c r="D606" i="8"/>
  <c r="C607" i="8"/>
  <c r="D607" i="8"/>
  <c r="C608" i="8"/>
  <c r="D608" i="8"/>
  <c r="C609" i="8"/>
  <c r="D609" i="8"/>
  <c r="C610" i="8"/>
  <c r="D610" i="8"/>
  <c r="C611" i="8"/>
  <c r="D611" i="8"/>
  <c r="C612" i="8"/>
  <c r="D612" i="8"/>
  <c r="C613" i="8"/>
  <c r="D613" i="8"/>
  <c r="C614" i="8"/>
  <c r="D614" i="8"/>
  <c r="C615" i="8"/>
  <c r="D615" i="8"/>
  <c r="C616" i="8"/>
  <c r="D616" i="8"/>
  <c r="C617" i="8"/>
  <c r="D617" i="8"/>
  <c r="C618" i="8"/>
  <c r="D618" i="8"/>
  <c r="C619" i="8"/>
  <c r="D619" i="8"/>
  <c r="C620" i="8"/>
  <c r="D620" i="8"/>
  <c r="C621" i="8"/>
  <c r="D621" i="8"/>
  <c r="C622" i="8"/>
  <c r="D622" i="8"/>
  <c r="C623" i="8"/>
  <c r="D623" i="8"/>
  <c r="C624" i="8"/>
  <c r="D624" i="8"/>
  <c r="C625" i="8"/>
  <c r="D625" i="8"/>
  <c r="C626" i="8"/>
  <c r="D626" i="8"/>
  <c r="C627" i="8"/>
  <c r="D627" i="8"/>
  <c r="C628" i="8"/>
  <c r="D628" i="8"/>
  <c r="C629" i="8"/>
  <c r="D629" i="8"/>
  <c r="C630" i="8"/>
  <c r="D630" i="8"/>
  <c r="C631" i="8"/>
  <c r="D631" i="8"/>
  <c r="C632" i="8"/>
  <c r="D632" i="8"/>
  <c r="C633" i="8"/>
  <c r="D633" i="8"/>
  <c r="C634" i="8"/>
  <c r="D634" i="8"/>
  <c r="C635" i="8"/>
  <c r="D635" i="8"/>
  <c r="C636" i="8"/>
  <c r="D636" i="8"/>
  <c r="C637" i="8"/>
  <c r="D637" i="8"/>
  <c r="C638" i="8"/>
  <c r="D638" i="8"/>
  <c r="C639" i="8"/>
  <c r="D639" i="8"/>
  <c r="C640" i="8"/>
  <c r="D640" i="8"/>
  <c r="C641" i="8"/>
  <c r="D641" i="8"/>
  <c r="C642" i="8"/>
  <c r="D642" i="8"/>
  <c r="C643" i="8"/>
  <c r="D643" i="8"/>
  <c r="C644" i="8"/>
  <c r="D644" i="8"/>
  <c r="C645" i="8"/>
  <c r="D645" i="8"/>
  <c r="C646" i="8"/>
  <c r="D646" i="8"/>
  <c r="C647" i="8"/>
  <c r="D647" i="8"/>
  <c r="C648" i="8"/>
  <c r="D648" i="8"/>
  <c r="C649" i="8"/>
  <c r="D649" i="8"/>
  <c r="C650" i="8"/>
  <c r="D650" i="8"/>
  <c r="C651" i="8"/>
  <c r="D651" i="8"/>
  <c r="C652" i="8"/>
  <c r="D652" i="8"/>
  <c r="C653" i="8"/>
  <c r="D653" i="8"/>
  <c r="C654" i="8"/>
  <c r="D654" i="8"/>
  <c r="C655" i="8"/>
  <c r="D655" i="8"/>
  <c r="C656" i="8"/>
  <c r="D656" i="8"/>
  <c r="C657" i="8"/>
  <c r="D657" i="8"/>
  <c r="C658" i="8"/>
  <c r="D658" i="8"/>
  <c r="C659" i="8"/>
  <c r="D659" i="8"/>
  <c r="C660" i="8"/>
  <c r="D660" i="8"/>
  <c r="C661" i="8"/>
  <c r="D661" i="8"/>
  <c r="C662" i="8"/>
  <c r="D662" i="8"/>
  <c r="C663" i="8"/>
  <c r="D663" i="8"/>
  <c r="C664" i="8"/>
  <c r="D664" i="8"/>
  <c r="C665" i="8"/>
  <c r="D665" i="8"/>
  <c r="C666" i="8"/>
  <c r="D666" i="8"/>
  <c r="C667" i="8"/>
  <c r="D667" i="8"/>
  <c r="C668" i="8"/>
  <c r="D668" i="8"/>
  <c r="C669" i="8"/>
  <c r="D669" i="8"/>
  <c r="C670" i="8"/>
  <c r="D670" i="8"/>
  <c r="C671" i="8"/>
  <c r="D671" i="8"/>
  <c r="C672" i="8"/>
  <c r="D672" i="8"/>
  <c r="C673" i="8"/>
  <c r="D673" i="8"/>
  <c r="C674" i="8"/>
  <c r="D674" i="8"/>
  <c r="C675" i="8"/>
  <c r="D675" i="8"/>
  <c r="C676" i="8"/>
  <c r="D676" i="8"/>
  <c r="C677" i="8"/>
  <c r="D677" i="8"/>
  <c r="C678" i="8"/>
  <c r="D678" i="8"/>
  <c r="C679" i="8"/>
  <c r="D679" i="8"/>
  <c r="C680" i="8"/>
  <c r="D680" i="8"/>
  <c r="C681" i="8"/>
  <c r="D681" i="8"/>
  <c r="C682" i="8"/>
  <c r="D682" i="8"/>
  <c r="C683" i="8"/>
  <c r="D683" i="8"/>
  <c r="C684" i="8"/>
  <c r="D684" i="8"/>
  <c r="C685" i="8"/>
  <c r="D685" i="8"/>
  <c r="C686" i="8"/>
  <c r="D686" i="8"/>
  <c r="C687" i="8"/>
  <c r="D687" i="8"/>
  <c r="C688" i="8"/>
  <c r="D688" i="8"/>
  <c r="C689" i="8"/>
  <c r="D689" i="8"/>
  <c r="C690" i="8"/>
  <c r="D690" i="8"/>
  <c r="C691" i="8"/>
  <c r="D691" i="8"/>
  <c r="C692" i="8"/>
  <c r="D692" i="8"/>
  <c r="C693" i="8"/>
  <c r="D693" i="8"/>
  <c r="C694" i="8"/>
  <c r="D694" i="8"/>
  <c r="C695" i="8"/>
  <c r="D695" i="8"/>
  <c r="C696" i="8"/>
  <c r="D696" i="8"/>
  <c r="C697" i="8"/>
  <c r="D697" i="8"/>
  <c r="C698" i="8"/>
  <c r="D698" i="8"/>
  <c r="C699" i="8"/>
  <c r="D699" i="8"/>
  <c r="C700" i="8"/>
  <c r="D700" i="8"/>
  <c r="C701" i="8"/>
  <c r="D701" i="8"/>
  <c r="C702" i="8"/>
  <c r="D702" i="8"/>
  <c r="C703" i="8"/>
  <c r="D703" i="8"/>
  <c r="C704" i="8"/>
  <c r="D704" i="8"/>
  <c r="C705" i="8"/>
  <c r="D705" i="8"/>
  <c r="C706" i="8"/>
  <c r="D706" i="8"/>
  <c r="C707" i="8"/>
  <c r="D707" i="8"/>
  <c r="C708" i="8"/>
  <c r="D708" i="8"/>
  <c r="C709" i="8"/>
  <c r="D709" i="8"/>
  <c r="C710" i="8"/>
  <c r="D710" i="8"/>
  <c r="C711" i="8"/>
  <c r="D711" i="8"/>
  <c r="C712" i="8"/>
  <c r="D712" i="8"/>
  <c r="C713" i="8"/>
  <c r="D713" i="8"/>
  <c r="C714" i="8"/>
  <c r="D714" i="8"/>
  <c r="C715" i="8"/>
  <c r="D715" i="8"/>
  <c r="C716" i="8"/>
  <c r="D716" i="8"/>
  <c r="C717" i="8"/>
  <c r="D717" i="8"/>
  <c r="C718" i="8"/>
  <c r="D718" i="8"/>
  <c r="C719" i="8"/>
  <c r="D719" i="8"/>
  <c r="C720" i="8"/>
  <c r="D720" i="8"/>
  <c r="C721" i="8"/>
  <c r="D721" i="8"/>
  <c r="C722" i="8"/>
  <c r="D722" i="8"/>
  <c r="C723" i="8"/>
  <c r="D723" i="8"/>
  <c r="C724" i="8"/>
  <c r="D724" i="8"/>
  <c r="C725" i="8"/>
  <c r="D725" i="8"/>
  <c r="C726" i="8"/>
  <c r="D726" i="8"/>
  <c r="C727" i="8"/>
  <c r="D727" i="8"/>
  <c r="C728" i="8"/>
  <c r="D728" i="8"/>
  <c r="C729" i="8"/>
  <c r="D729" i="8"/>
  <c r="C730" i="8"/>
  <c r="D730" i="8"/>
  <c r="C731" i="8"/>
  <c r="D731" i="8"/>
  <c r="C732" i="8"/>
  <c r="D732" i="8"/>
  <c r="C733" i="8"/>
  <c r="D733" i="8"/>
  <c r="C734" i="8"/>
  <c r="D734" i="8"/>
  <c r="C735" i="8"/>
  <c r="D735" i="8"/>
  <c r="C736" i="8"/>
  <c r="D736" i="8"/>
  <c r="C737" i="8"/>
  <c r="D737" i="8"/>
  <c r="C738" i="8"/>
  <c r="D738" i="8"/>
  <c r="C739" i="8"/>
  <c r="D739" i="8"/>
  <c r="C740" i="8"/>
  <c r="D740" i="8"/>
  <c r="C741" i="8"/>
  <c r="D741" i="8"/>
  <c r="C742" i="8"/>
  <c r="D742" i="8"/>
  <c r="C743" i="8"/>
  <c r="D743" i="8"/>
  <c r="C744" i="8"/>
  <c r="D744" i="8"/>
  <c r="C745" i="8"/>
  <c r="D745" i="8"/>
  <c r="C746" i="8"/>
  <c r="D746" i="8"/>
  <c r="C747" i="8"/>
  <c r="D747" i="8"/>
  <c r="C748" i="8"/>
  <c r="D748" i="8"/>
  <c r="C749" i="8"/>
  <c r="D749" i="8"/>
  <c r="C750" i="8"/>
  <c r="D750" i="8"/>
  <c r="C751" i="8"/>
  <c r="D751" i="8"/>
  <c r="C752" i="8"/>
  <c r="D752" i="8"/>
  <c r="C753" i="8"/>
  <c r="D753" i="8"/>
  <c r="C754" i="8"/>
  <c r="D754" i="8"/>
  <c r="C755" i="8"/>
  <c r="D755" i="8"/>
  <c r="C756" i="8"/>
  <c r="D756" i="8"/>
  <c r="C757" i="8"/>
  <c r="D757" i="8"/>
  <c r="C758" i="8"/>
  <c r="D758" i="8"/>
  <c r="C759" i="8"/>
  <c r="D759" i="8"/>
  <c r="C760" i="8"/>
  <c r="D760" i="8"/>
  <c r="C761" i="8"/>
  <c r="D761" i="8"/>
  <c r="C762" i="8"/>
  <c r="D762" i="8"/>
  <c r="C763" i="8"/>
  <c r="D763" i="8"/>
  <c r="C764" i="8"/>
  <c r="D764" i="8"/>
  <c r="C765" i="8"/>
  <c r="D765" i="8"/>
  <c r="C766" i="8"/>
  <c r="D766" i="8"/>
  <c r="C767" i="8"/>
  <c r="D767" i="8"/>
  <c r="C768" i="8"/>
  <c r="D768" i="8"/>
  <c r="C769" i="8"/>
  <c r="D769" i="8"/>
  <c r="C770" i="8"/>
  <c r="D770" i="8"/>
  <c r="C771" i="8"/>
  <c r="D771" i="8"/>
  <c r="C772" i="8"/>
  <c r="D772" i="8"/>
  <c r="C773" i="8"/>
  <c r="D773" i="8"/>
  <c r="C774" i="8"/>
  <c r="D774" i="8"/>
  <c r="C775" i="8"/>
  <c r="D775" i="8"/>
  <c r="C776" i="8"/>
  <c r="D776" i="8"/>
  <c r="C777" i="8"/>
  <c r="D777" i="8"/>
  <c r="C778" i="8"/>
  <c r="D778" i="8"/>
  <c r="C779" i="8"/>
  <c r="D779" i="8"/>
  <c r="C780" i="8"/>
  <c r="D780" i="8"/>
  <c r="C781" i="8"/>
  <c r="D781" i="8"/>
  <c r="C782" i="8"/>
  <c r="D782" i="8"/>
  <c r="C783" i="8"/>
  <c r="D783" i="8"/>
  <c r="C784" i="8"/>
  <c r="D784" i="8"/>
  <c r="C785" i="8"/>
  <c r="D785" i="8"/>
  <c r="C786" i="8"/>
  <c r="D786" i="8"/>
  <c r="C787" i="8"/>
  <c r="D787" i="8"/>
  <c r="C788" i="8"/>
  <c r="D788" i="8"/>
  <c r="C789" i="8"/>
  <c r="D789" i="8"/>
  <c r="C790" i="8"/>
  <c r="D790" i="8"/>
  <c r="C791" i="8"/>
  <c r="D791" i="8"/>
  <c r="C792" i="8"/>
  <c r="D792" i="8"/>
  <c r="C793" i="8"/>
  <c r="D793" i="8"/>
  <c r="C794" i="8"/>
  <c r="D794" i="8"/>
  <c r="C795" i="8"/>
  <c r="D795" i="8"/>
  <c r="C796" i="8"/>
  <c r="D796" i="8"/>
  <c r="C797" i="8"/>
  <c r="D797" i="8"/>
  <c r="C798" i="8"/>
  <c r="D798" i="8"/>
  <c r="C799" i="8"/>
  <c r="D799" i="8"/>
  <c r="C800" i="8"/>
  <c r="D800" i="8"/>
  <c r="C801" i="8"/>
  <c r="D801" i="8"/>
  <c r="C802" i="8"/>
  <c r="D802" i="8"/>
  <c r="C803" i="8"/>
  <c r="D803" i="8"/>
  <c r="C804" i="8"/>
  <c r="D804" i="8"/>
  <c r="C805" i="8"/>
  <c r="D805" i="8"/>
  <c r="C806" i="8"/>
  <c r="D806" i="8"/>
  <c r="C807" i="8"/>
  <c r="D807" i="8"/>
  <c r="C808" i="8"/>
  <c r="D808" i="8"/>
  <c r="C809" i="8"/>
  <c r="D809" i="8"/>
  <c r="C810" i="8"/>
  <c r="D810" i="8"/>
  <c r="C811" i="8"/>
  <c r="D811" i="8"/>
  <c r="C812" i="8"/>
  <c r="D812" i="8"/>
  <c r="C813" i="8"/>
  <c r="D813" i="8"/>
  <c r="C814" i="8"/>
  <c r="D814" i="8"/>
  <c r="C815" i="8"/>
  <c r="D815" i="8"/>
  <c r="C816" i="8"/>
  <c r="D816" i="8"/>
  <c r="C817" i="8"/>
  <c r="D817" i="8"/>
  <c r="C818" i="8"/>
  <c r="D818" i="8"/>
  <c r="C819" i="8"/>
  <c r="D819" i="8"/>
  <c r="C820" i="8"/>
  <c r="D820" i="8"/>
  <c r="C821" i="8"/>
  <c r="D821" i="8"/>
  <c r="C822" i="8"/>
  <c r="D822" i="8"/>
  <c r="C823" i="8"/>
  <c r="D823" i="8"/>
  <c r="C824" i="8"/>
  <c r="D824" i="8"/>
  <c r="C825" i="8"/>
  <c r="D825" i="8"/>
  <c r="C826" i="8"/>
  <c r="D826" i="8"/>
  <c r="C827" i="8"/>
  <c r="D827" i="8"/>
  <c r="C828" i="8"/>
  <c r="D828" i="8"/>
  <c r="C829" i="8"/>
  <c r="D829" i="8"/>
  <c r="C830" i="8"/>
  <c r="D830" i="8"/>
  <c r="C831" i="8"/>
  <c r="D831" i="8"/>
  <c r="C832" i="8"/>
  <c r="D832" i="8"/>
  <c r="C833" i="8"/>
  <c r="D833" i="8"/>
  <c r="C834" i="8"/>
  <c r="D834" i="8"/>
  <c r="C835" i="8"/>
  <c r="D835" i="8"/>
  <c r="C836" i="8"/>
  <c r="D836" i="8"/>
  <c r="C837" i="8"/>
  <c r="D837" i="8"/>
  <c r="C838" i="8"/>
  <c r="D838" i="8"/>
  <c r="C839" i="8"/>
  <c r="D839" i="8"/>
  <c r="C840" i="8"/>
  <c r="D840" i="8"/>
  <c r="C841" i="8"/>
  <c r="D841" i="8"/>
  <c r="C842" i="8"/>
  <c r="D842" i="8"/>
  <c r="C843" i="8"/>
  <c r="D843" i="8"/>
  <c r="C844" i="8"/>
  <c r="D844" i="8"/>
  <c r="C845" i="8"/>
  <c r="D845" i="8"/>
  <c r="C846" i="8"/>
  <c r="D846" i="8"/>
  <c r="C847" i="8"/>
  <c r="D847" i="8"/>
  <c r="C848" i="8"/>
  <c r="D848" i="8"/>
  <c r="C849" i="8"/>
  <c r="D849" i="8"/>
  <c r="C850" i="8"/>
  <c r="D850" i="8"/>
  <c r="C851" i="8"/>
  <c r="D851" i="8"/>
  <c r="C852" i="8"/>
  <c r="D852" i="8"/>
  <c r="C853" i="8"/>
  <c r="D853" i="8"/>
  <c r="C854" i="8"/>
  <c r="D854" i="8"/>
  <c r="C855" i="8"/>
  <c r="D855" i="8"/>
  <c r="C856" i="8"/>
  <c r="D856" i="8"/>
  <c r="C857" i="8"/>
  <c r="D857" i="8"/>
  <c r="C858" i="8"/>
  <c r="D858" i="8"/>
  <c r="C859" i="8"/>
  <c r="D859" i="8"/>
  <c r="C860" i="8"/>
  <c r="D860" i="8"/>
  <c r="C861" i="8"/>
  <c r="D861" i="8"/>
  <c r="C862" i="8"/>
  <c r="D862" i="8"/>
  <c r="C863" i="8"/>
  <c r="D863" i="8"/>
  <c r="C864" i="8"/>
  <c r="D864" i="8"/>
  <c r="C865" i="8"/>
  <c r="D865" i="8"/>
  <c r="C866" i="8"/>
  <c r="D866" i="8"/>
  <c r="C867" i="8"/>
  <c r="D867" i="8"/>
  <c r="C868" i="8"/>
  <c r="D868" i="8"/>
  <c r="C869" i="8"/>
  <c r="D869" i="8"/>
  <c r="C870" i="8"/>
  <c r="D870" i="8"/>
  <c r="C871" i="8"/>
  <c r="D871" i="8"/>
  <c r="C872" i="8"/>
  <c r="D872" i="8"/>
  <c r="C873" i="8"/>
  <c r="D873" i="8"/>
  <c r="C874" i="8"/>
  <c r="D874" i="8"/>
  <c r="C875" i="8"/>
  <c r="D875" i="8"/>
  <c r="C876" i="8"/>
  <c r="D876" i="8"/>
  <c r="C877" i="8"/>
  <c r="D877" i="8"/>
  <c r="C878" i="8"/>
  <c r="D878" i="8"/>
  <c r="C879" i="8"/>
  <c r="D879" i="8"/>
  <c r="C880" i="8"/>
  <c r="D880" i="8"/>
  <c r="C881" i="8"/>
  <c r="D881" i="8"/>
  <c r="C882" i="8"/>
  <c r="D882" i="8"/>
  <c r="C883" i="8"/>
  <c r="D883" i="8"/>
  <c r="C884" i="8"/>
  <c r="D884" i="8"/>
  <c r="C885" i="8"/>
  <c r="D885" i="8"/>
  <c r="C886" i="8"/>
  <c r="D886" i="8"/>
  <c r="C887" i="8"/>
  <c r="D887" i="8"/>
  <c r="C888" i="8"/>
  <c r="D888" i="8"/>
  <c r="C889" i="8"/>
  <c r="D889" i="8"/>
  <c r="C890" i="8"/>
  <c r="D890" i="8"/>
  <c r="C891" i="8"/>
  <c r="D891" i="8"/>
  <c r="C892" i="8"/>
  <c r="D892" i="8"/>
  <c r="C893" i="8"/>
  <c r="D893" i="8"/>
  <c r="C894" i="8"/>
  <c r="D894" i="8"/>
  <c r="C895" i="8"/>
  <c r="D895" i="8"/>
  <c r="C896" i="8"/>
  <c r="D896" i="8"/>
  <c r="C897" i="8"/>
  <c r="D897" i="8"/>
  <c r="C898" i="8"/>
  <c r="D898" i="8"/>
  <c r="C899" i="8"/>
  <c r="D899" i="8"/>
  <c r="C900" i="8"/>
  <c r="D900" i="8"/>
  <c r="C901" i="8"/>
  <c r="D901" i="8"/>
  <c r="C902" i="8"/>
  <c r="D902" i="8"/>
  <c r="C903" i="8"/>
  <c r="D903" i="8"/>
  <c r="C904" i="8"/>
  <c r="D904" i="8"/>
  <c r="C905" i="8"/>
  <c r="D905" i="8"/>
  <c r="C906" i="8"/>
  <c r="D906" i="8"/>
  <c r="C907" i="8"/>
  <c r="D907" i="8"/>
  <c r="C908" i="8"/>
  <c r="D908" i="8"/>
  <c r="C909" i="8"/>
  <c r="D909" i="8"/>
  <c r="C910" i="8"/>
  <c r="D910" i="8"/>
  <c r="C911" i="8"/>
  <c r="D911" i="8"/>
  <c r="C912" i="8"/>
  <c r="D912" i="8"/>
  <c r="C913" i="8"/>
  <c r="D913" i="8"/>
  <c r="C914" i="8"/>
  <c r="D914" i="8"/>
  <c r="C915" i="8"/>
  <c r="D915" i="8"/>
  <c r="C916" i="8"/>
  <c r="D916" i="8"/>
  <c r="C917" i="8"/>
  <c r="D917" i="8"/>
  <c r="C918" i="8"/>
  <c r="D918" i="8"/>
  <c r="C919" i="8"/>
  <c r="D919" i="8"/>
  <c r="C920" i="8"/>
  <c r="D920" i="8"/>
  <c r="C921" i="8"/>
  <c r="D921" i="8"/>
  <c r="C922" i="8"/>
  <c r="D922" i="8"/>
  <c r="C923" i="8"/>
  <c r="D923" i="8"/>
  <c r="C924" i="8"/>
  <c r="D924" i="8"/>
  <c r="C925" i="8"/>
  <c r="D925" i="8"/>
  <c r="C926" i="8"/>
  <c r="D926" i="8"/>
  <c r="C927" i="8"/>
  <c r="D927" i="8"/>
  <c r="C928" i="8"/>
  <c r="D928" i="8"/>
  <c r="C929" i="8"/>
  <c r="D929" i="8"/>
  <c r="C930" i="8"/>
  <c r="D930" i="8"/>
  <c r="C931" i="8"/>
  <c r="D931" i="8"/>
  <c r="C932" i="8"/>
  <c r="D932" i="8"/>
  <c r="C933" i="8"/>
  <c r="D933" i="8"/>
  <c r="C934" i="8"/>
  <c r="D934" i="8"/>
  <c r="C935" i="8"/>
  <c r="D935" i="8"/>
  <c r="C936" i="8"/>
  <c r="D936" i="8"/>
  <c r="C937" i="8"/>
  <c r="D937" i="8"/>
  <c r="C938" i="8"/>
  <c r="D938" i="8"/>
  <c r="C939" i="8"/>
  <c r="D939" i="8"/>
  <c r="C940" i="8"/>
  <c r="D940" i="8"/>
  <c r="C941" i="8"/>
  <c r="D941" i="8"/>
  <c r="C942" i="8"/>
  <c r="D942" i="8"/>
  <c r="C943" i="8"/>
  <c r="D943" i="8"/>
  <c r="C944" i="8"/>
  <c r="D944" i="8"/>
  <c r="C945" i="8"/>
  <c r="D945" i="8"/>
  <c r="C946" i="8"/>
  <c r="D946" i="8"/>
  <c r="C947" i="8"/>
  <c r="D947" i="8"/>
  <c r="C948" i="8"/>
  <c r="D948" i="8"/>
  <c r="C949" i="8"/>
  <c r="D949" i="8"/>
  <c r="C950" i="8"/>
  <c r="D950" i="8"/>
  <c r="C951" i="8"/>
  <c r="D951" i="8"/>
  <c r="C952" i="8"/>
  <c r="D952" i="8"/>
  <c r="C953" i="8"/>
  <c r="D953" i="8"/>
  <c r="C954" i="8"/>
  <c r="D954" i="8"/>
  <c r="C955" i="8"/>
  <c r="D955" i="8"/>
  <c r="C956" i="8"/>
  <c r="D956" i="8"/>
  <c r="C957" i="8"/>
  <c r="D957" i="8"/>
  <c r="C958" i="8"/>
  <c r="D958" i="8"/>
  <c r="C959" i="8"/>
  <c r="D959" i="8"/>
  <c r="C960" i="8"/>
  <c r="D960" i="8"/>
  <c r="C961" i="8"/>
  <c r="D961" i="8"/>
  <c r="C962" i="8"/>
  <c r="D962" i="8"/>
  <c r="C963" i="8"/>
  <c r="D963" i="8"/>
  <c r="C964" i="8"/>
  <c r="D964" i="8"/>
  <c r="C965" i="8"/>
  <c r="D965" i="8"/>
  <c r="C966" i="8"/>
  <c r="D966" i="8"/>
  <c r="C967" i="8"/>
  <c r="D967" i="8"/>
  <c r="C968" i="8"/>
  <c r="D968" i="8"/>
  <c r="C969" i="8"/>
  <c r="D969" i="8"/>
  <c r="C970" i="8"/>
  <c r="D970" i="8"/>
  <c r="C971" i="8"/>
  <c r="D971" i="8"/>
  <c r="C972" i="8"/>
  <c r="D972" i="8"/>
  <c r="C973" i="8"/>
  <c r="D973" i="8"/>
  <c r="C974" i="8"/>
  <c r="D974" i="8"/>
  <c r="C975" i="8"/>
  <c r="D975" i="8"/>
  <c r="C976" i="8"/>
  <c r="D976" i="8"/>
  <c r="C977" i="8"/>
  <c r="D977" i="8"/>
  <c r="C978" i="8"/>
  <c r="D978" i="8"/>
  <c r="C979" i="8"/>
  <c r="D979" i="8"/>
  <c r="C980" i="8"/>
  <c r="D980" i="8"/>
  <c r="C981" i="8"/>
  <c r="D981" i="8"/>
  <c r="C982" i="8"/>
  <c r="D982" i="8"/>
  <c r="C983" i="8"/>
  <c r="D983" i="8"/>
  <c r="C984" i="8"/>
  <c r="D984" i="8"/>
  <c r="C985" i="8"/>
  <c r="D985" i="8"/>
  <c r="C986" i="8"/>
  <c r="D986" i="8"/>
  <c r="C987" i="8"/>
  <c r="D987" i="8"/>
  <c r="C988" i="8"/>
  <c r="D988" i="8"/>
  <c r="C989" i="8"/>
  <c r="D989" i="8"/>
  <c r="C990" i="8"/>
  <c r="D990" i="8"/>
  <c r="C991" i="8"/>
  <c r="D991" i="8"/>
  <c r="C992" i="8"/>
  <c r="D992" i="8"/>
  <c r="C993" i="8"/>
  <c r="D993" i="8"/>
  <c r="C994" i="8"/>
  <c r="D994" i="8"/>
  <c r="C995" i="8"/>
  <c r="D995" i="8"/>
  <c r="C996" i="8"/>
  <c r="D996" i="8"/>
  <c r="C997" i="8"/>
  <c r="D997" i="8"/>
  <c r="C998" i="8"/>
  <c r="D998" i="8"/>
  <c r="C999" i="8"/>
  <c r="D999" i="8"/>
  <c r="C1000" i="8"/>
  <c r="D1000" i="8"/>
  <c r="C1001" i="8"/>
  <c r="D1001" i="8"/>
  <c r="C1002" i="8"/>
  <c r="D1002" i="8"/>
  <c r="C1003" i="8"/>
  <c r="D1003" i="8"/>
  <c r="C1004" i="8"/>
  <c r="D1004" i="8"/>
  <c r="C1005" i="8"/>
  <c r="D1005" i="8"/>
  <c r="C1006" i="8"/>
  <c r="D1006" i="8"/>
  <c r="C1007" i="8"/>
  <c r="D1007" i="8"/>
  <c r="C1008" i="8"/>
  <c r="D1008" i="8"/>
  <c r="C1009" i="8"/>
  <c r="D1009" i="8"/>
  <c r="C1010" i="8"/>
  <c r="D1010" i="8"/>
  <c r="C1011" i="8"/>
  <c r="D1011" i="8"/>
  <c r="C1012" i="8"/>
  <c r="D1012" i="8"/>
  <c r="C1013" i="8"/>
  <c r="D1013" i="8"/>
  <c r="C1014" i="8"/>
  <c r="D1014" i="8"/>
  <c r="C1015" i="8"/>
  <c r="D1015" i="8"/>
  <c r="C1016" i="8"/>
  <c r="D1016" i="8"/>
  <c r="C1017" i="8"/>
  <c r="D1017" i="8"/>
  <c r="C1018" i="8"/>
  <c r="D1018" i="8"/>
  <c r="C1019" i="8"/>
  <c r="D1019" i="8"/>
  <c r="C1020" i="8"/>
  <c r="D1020" i="8"/>
  <c r="C1021" i="8"/>
  <c r="D1021" i="8"/>
  <c r="C1022" i="8"/>
  <c r="D1022" i="8"/>
  <c r="C1023" i="8"/>
  <c r="D1023" i="8"/>
  <c r="C1024" i="8"/>
  <c r="D1024" i="8"/>
  <c r="C1025" i="8"/>
  <c r="D1025" i="8"/>
  <c r="C1026" i="8"/>
  <c r="D1026" i="8"/>
  <c r="C1027" i="8"/>
  <c r="D1027" i="8"/>
  <c r="C1028" i="8"/>
  <c r="D1028" i="8"/>
  <c r="C1029" i="8"/>
  <c r="D1029" i="8"/>
  <c r="C1030" i="8"/>
  <c r="D1030" i="8"/>
  <c r="C1031" i="8"/>
  <c r="D1031" i="8"/>
  <c r="C1032" i="8"/>
  <c r="D1032" i="8"/>
  <c r="C1033" i="8"/>
  <c r="D1033" i="8"/>
  <c r="C1034" i="8"/>
  <c r="D1034" i="8"/>
  <c r="C1035" i="8"/>
  <c r="D1035" i="8"/>
  <c r="C1036" i="8"/>
  <c r="D1036" i="8"/>
  <c r="C1037" i="8"/>
  <c r="D1037" i="8"/>
  <c r="C1038" i="8"/>
  <c r="D1038" i="8"/>
  <c r="C1039" i="8"/>
  <c r="D1039" i="8"/>
  <c r="C1040" i="8"/>
  <c r="D1040" i="8"/>
  <c r="C1041" i="8"/>
  <c r="D1041" i="8"/>
  <c r="C1042" i="8"/>
  <c r="D1042" i="8"/>
  <c r="C1043" i="8"/>
  <c r="D1043" i="8"/>
  <c r="C1044" i="8"/>
  <c r="D1044" i="8"/>
  <c r="C1045" i="8"/>
  <c r="D1045" i="8"/>
  <c r="C1046" i="8"/>
  <c r="D1046" i="8"/>
  <c r="C1047" i="8"/>
  <c r="D1047" i="8"/>
  <c r="C1048" i="8"/>
  <c r="D1048" i="8"/>
  <c r="C1049" i="8"/>
  <c r="D1049" i="8"/>
  <c r="C1050" i="8"/>
  <c r="D1050" i="8"/>
  <c r="C1051" i="8"/>
  <c r="D1051" i="8"/>
  <c r="C1052" i="8"/>
  <c r="D1052" i="8"/>
  <c r="C1053" i="8"/>
  <c r="D1053" i="8"/>
  <c r="C1054" i="8"/>
  <c r="D1054" i="8"/>
  <c r="C1055" i="8"/>
  <c r="D1055" i="8"/>
  <c r="C1056" i="8"/>
  <c r="D1056" i="8"/>
  <c r="C1057" i="8"/>
  <c r="D1057" i="8"/>
  <c r="C1058" i="8"/>
  <c r="D1058" i="8"/>
  <c r="C1059" i="8"/>
  <c r="D1059" i="8"/>
  <c r="C1060" i="8"/>
  <c r="D1060" i="8"/>
  <c r="C1061" i="8"/>
  <c r="D1061" i="8"/>
  <c r="C1062" i="8"/>
  <c r="D1062" i="8"/>
  <c r="C1063" i="8"/>
  <c r="D1063" i="8"/>
  <c r="C1064" i="8"/>
  <c r="D1064" i="8"/>
  <c r="C1065" i="8"/>
  <c r="D1065" i="8"/>
  <c r="C1066" i="8"/>
  <c r="D1066" i="8"/>
  <c r="C1067" i="8"/>
  <c r="D1067" i="8"/>
  <c r="C1068" i="8"/>
  <c r="D1068" i="8"/>
  <c r="C1069" i="8"/>
  <c r="D1069" i="8"/>
  <c r="C1070" i="8"/>
  <c r="D1070" i="8"/>
  <c r="C1071" i="8"/>
  <c r="D1071" i="8"/>
  <c r="C1072" i="8"/>
  <c r="D1072" i="8"/>
  <c r="C1073" i="8"/>
  <c r="D1073" i="8"/>
  <c r="C1074" i="8"/>
  <c r="D1074" i="8"/>
  <c r="C1075" i="8"/>
  <c r="D1075" i="8"/>
  <c r="B78" i="8"/>
  <c r="B79" i="8" s="1"/>
  <c r="B80" i="8" s="1"/>
  <c r="B81" i="8" s="1"/>
  <c r="B82" i="8"/>
  <c r="B83" i="8" s="1"/>
  <c r="B84" i="8" s="1"/>
  <c r="B85" i="8" s="1"/>
  <c r="B86" i="8" s="1"/>
  <c r="B87" i="8" s="1"/>
  <c r="B88" i="8" s="1"/>
  <c r="B89" i="8"/>
  <c r="B90" i="8"/>
  <c r="B91" i="8" s="1"/>
  <c r="B92" i="8" s="1"/>
  <c r="B93" i="8" s="1"/>
  <c r="B94" i="8" s="1"/>
  <c r="B95" i="8" s="1"/>
  <c r="B96" i="8" s="1"/>
  <c r="B97" i="8"/>
  <c r="B98" i="8" s="1"/>
  <c r="B99" i="8" s="1"/>
  <c r="B100" i="8" s="1"/>
  <c r="B101" i="8" s="1"/>
  <c r="B102" i="8" s="1"/>
  <c r="B103" i="8" s="1"/>
  <c r="B104" i="8" s="1"/>
  <c r="B105" i="8" s="1"/>
  <c r="B106" i="8" s="1"/>
  <c r="B107" i="8" s="1"/>
  <c r="B108" i="8" s="1"/>
  <c r="B109" i="8" s="1"/>
  <c r="B110" i="8"/>
  <c r="B111" i="8" s="1"/>
  <c r="B112" i="8" s="1"/>
  <c r="B113" i="8" s="1"/>
  <c r="B114" i="8" s="1"/>
  <c r="B115" i="8" s="1"/>
  <c r="B116" i="8" s="1"/>
  <c r="B117" i="8" s="1"/>
  <c r="B118" i="8" s="1"/>
  <c r="B119" i="8" s="1"/>
  <c r="B120" i="8" s="1"/>
  <c r="B121" i="8" s="1"/>
  <c r="B122" i="8" s="1"/>
  <c r="B123" i="8" s="1"/>
  <c r="B124" i="8" s="1"/>
  <c r="B125" i="8" s="1"/>
  <c r="B126" i="8" s="1"/>
  <c r="B127" i="8" s="1"/>
  <c r="B128" i="8" s="1"/>
  <c r="B129" i="8" s="1"/>
  <c r="B130" i="8" s="1"/>
  <c r="B131" i="8" s="1"/>
  <c r="B132" i="8" s="1"/>
  <c r="B133" i="8" s="1"/>
  <c r="B134" i="8" s="1"/>
  <c r="B135" i="8" s="1"/>
  <c r="B136" i="8" s="1"/>
  <c r="B137" i="8" s="1"/>
  <c r="B138" i="8" s="1"/>
  <c r="B139" i="8" s="1"/>
  <c r="B140" i="8" s="1"/>
  <c r="B141" i="8" s="1"/>
  <c r="B142" i="8" s="1"/>
  <c r="B143" i="8" s="1"/>
  <c r="B144" i="8" s="1"/>
  <c r="B145" i="8" s="1"/>
  <c r="B146" i="8" s="1"/>
  <c r="B147" i="8" s="1"/>
  <c r="B148" i="8" s="1"/>
  <c r="B149" i="8" s="1"/>
  <c r="B150" i="8" s="1"/>
  <c r="B151" i="8" s="1"/>
  <c r="B152" i="8" s="1"/>
  <c r="B153" i="8" s="1"/>
  <c r="B154" i="8" s="1"/>
  <c r="B155" i="8" s="1"/>
  <c r="B156" i="8" s="1"/>
  <c r="B157" i="8" s="1"/>
  <c r="B158" i="8" s="1"/>
  <c r="B159" i="8" s="1"/>
  <c r="B160" i="8" s="1"/>
  <c r="B161" i="8" s="1"/>
  <c r="B162" i="8" s="1"/>
  <c r="B163" i="8" s="1"/>
  <c r="B164" i="8" s="1"/>
  <c r="B165" i="8" s="1"/>
  <c r="B166" i="8" s="1"/>
  <c r="B167" i="8" s="1"/>
  <c r="B168" i="8" s="1"/>
  <c r="B169" i="8" s="1"/>
  <c r="B170" i="8" s="1"/>
  <c r="B171" i="8" s="1"/>
  <c r="B172" i="8" s="1"/>
  <c r="B173" i="8" s="1"/>
  <c r="B174" i="8" s="1"/>
  <c r="B175" i="8" s="1"/>
  <c r="B176" i="8" s="1"/>
  <c r="B177" i="8" s="1"/>
  <c r="B178" i="8" s="1"/>
  <c r="B179" i="8" s="1"/>
  <c r="B180" i="8" s="1"/>
  <c r="B181" i="8" s="1"/>
  <c r="B182" i="8" s="1"/>
  <c r="B183" i="8" s="1"/>
  <c r="B184" i="8" s="1"/>
  <c r="B185" i="8" s="1"/>
  <c r="B186" i="8" s="1"/>
  <c r="B187" i="8" s="1"/>
  <c r="B188" i="8" s="1"/>
  <c r="B189" i="8" s="1"/>
  <c r="B190" i="8" s="1"/>
  <c r="B191" i="8" s="1"/>
  <c r="B192" i="8" s="1"/>
  <c r="B193" i="8" s="1"/>
  <c r="B194" i="8" s="1"/>
  <c r="B195" i="8" s="1"/>
  <c r="B196" i="8" s="1"/>
  <c r="B197" i="8" s="1"/>
  <c r="B198" i="8" s="1"/>
  <c r="B199" i="8" s="1"/>
  <c r="B200" i="8" s="1"/>
  <c r="B201" i="8" s="1"/>
  <c r="B202" i="8" s="1"/>
  <c r="B203" i="8" s="1"/>
  <c r="B204" i="8" s="1"/>
  <c r="B205" i="8" s="1"/>
  <c r="B206" i="8" s="1"/>
  <c r="B207" i="8" s="1"/>
  <c r="B208" i="8" s="1"/>
  <c r="B209" i="8" s="1"/>
  <c r="B210" i="8" s="1"/>
  <c r="B211" i="8" s="1"/>
  <c r="B212" i="8" s="1"/>
  <c r="B213" i="8" s="1"/>
  <c r="B214" i="8" s="1"/>
  <c r="B215" i="8" s="1"/>
  <c r="B216" i="8" s="1"/>
  <c r="B217" i="8" s="1"/>
  <c r="B218" i="8" s="1"/>
  <c r="B219" i="8" s="1"/>
  <c r="B220" i="8" s="1"/>
  <c r="B221" i="8" s="1"/>
  <c r="B222" i="8" s="1"/>
  <c r="B223" i="8" s="1"/>
  <c r="B224" i="8" s="1"/>
  <c r="B225" i="8" s="1"/>
  <c r="B226" i="8" s="1"/>
  <c r="B227" i="8" s="1"/>
  <c r="B228" i="8" s="1"/>
  <c r="B229" i="8" s="1"/>
  <c r="B230" i="8" s="1"/>
  <c r="B231" i="8" s="1"/>
  <c r="B232" i="8" s="1"/>
  <c r="B233" i="8" s="1"/>
  <c r="B234" i="8" s="1"/>
  <c r="B235" i="8" s="1"/>
  <c r="B236" i="8" s="1"/>
  <c r="B237" i="8" s="1"/>
  <c r="B238" i="8" s="1"/>
  <c r="B239" i="8" s="1"/>
  <c r="B240" i="8" s="1"/>
  <c r="B241" i="8" s="1"/>
  <c r="B242" i="8" s="1"/>
  <c r="B243" i="8" s="1"/>
  <c r="B244" i="8" s="1"/>
  <c r="B245" i="8" s="1"/>
  <c r="B246" i="8" s="1"/>
  <c r="B247" i="8" s="1"/>
  <c r="B248" i="8" s="1"/>
  <c r="B249" i="8" s="1"/>
  <c r="B250" i="8" s="1"/>
  <c r="B251" i="8" s="1"/>
  <c r="B252" i="8" s="1"/>
  <c r="B253" i="8" s="1"/>
  <c r="B254" i="8" s="1"/>
  <c r="B255" i="8" s="1"/>
  <c r="B256" i="8" s="1"/>
  <c r="B257" i="8" s="1"/>
  <c r="B258" i="8" s="1"/>
  <c r="B259" i="8" s="1"/>
  <c r="B260" i="8" s="1"/>
  <c r="B261" i="8" s="1"/>
  <c r="B262" i="8" s="1"/>
  <c r="B263" i="8" s="1"/>
  <c r="B264" i="8" s="1"/>
  <c r="B265" i="8" s="1"/>
  <c r="B266" i="8" s="1"/>
  <c r="B267" i="8" s="1"/>
  <c r="B268" i="8" s="1"/>
  <c r="B269" i="8" s="1"/>
  <c r="B270" i="8" s="1"/>
  <c r="B271" i="8" s="1"/>
  <c r="B272" i="8" s="1"/>
  <c r="B273" i="8" s="1"/>
  <c r="B274" i="8" s="1"/>
  <c r="B275" i="8" s="1"/>
  <c r="B276" i="8" s="1"/>
  <c r="B277" i="8" s="1"/>
  <c r="B278" i="8" s="1"/>
  <c r="B279" i="8" s="1"/>
  <c r="B280" i="8" s="1"/>
  <c r="B281" i="8" s="1"/>
  <c r="B282" i="8" s="1"/>
  <c r="B283" i="8" s="1"/>
  <c r="B284" i="8" s="1"/>
  <c r="B285" i="8" s="1"/>
  <c r="B286" i="8" s="1"/>
  <c r="B287" i="8" s="1"/>
  <c r="B288" i="8" s="1"/>
  <c r="B289" i="8" s="1"/>
  <c r="B290" i="8" s="1"/>
  <c r="B291" i="8" s="1"/>
  <c r="B292" i="8" s="1"/>
  <c r="B293" i="8" s="1"/>
  <c r="B294" i="8" s="1"/>
  <c r="B295" i="8" s="1"/>
  <c r="B296" i="8" s="1"/>
  <c r="B297" i="8" s="1"/>
  <c r="B298" i="8" s="1"/>
  <c r="B299" i="8" s="1"/>
  <c r="B300" i="8" s="1"/>
  <c r="B301" i="8" s="1"/>
  <c r="B302" i="8" s="1"/>
  <c r="B303" i="8" s="1"/>
  <c r="B304" i="8" s="1"/>
  <c r="B305" i="8" s="1"/>
  <c r="B306" i="8" s="1"/>
  <c r="B307" i="8" s="1"/>
  <c r="B308" i="8" s="1"/>
  <c r="B309" i="8" s="1"/>
  <c r="B310" i="8" s="1"/>
  <c r="B311" i="8" s="1"/>
  <c r="B312" i="8" s="1"/>
  <c r="B313" i="8" s="1"/>
  <c r="B314" i="8" s="1"/>
  <c r="B315" i="8" s="1"/>
  <c r="B316" i="8" s="1"/>
  <c r="B317" i="8" s="1"/>
  <c r="B318" i="8" s="1"/>
  <c r="B319" i="8" s="1"/>
  <c r="B320" i="8" s="1"/>
  <c r="B321" i="8" s="1"/>
  <c r="B322" i="8" s="1"/>
  <c r="B323" i="8" s="1"/>
  <c r="B324" i="8" s="1"/>
  <c r="B325" i="8" s="1"/>
  <c r="B326" i="8" s="1"/>
  <c r="B327" i="8" s="1"/>
  <c r="B328" i="8" s="1"/>
  <c r="B329" i="8" s="1"/>
  <c r="B330" i="8" s="1"/>
  <c r="B331" i="8" s="1"/>
  <c r="B332" i="8" s="1"/>
  <c r="B333" i="8" s="1"/>
  <c r="B334" i="8" s="1"/>
  <c r="B335" i="8" s="1"/>
  <c r="B336" i="8" s="1"/>
  <c r="B337" i="8" s="1"/>
  <c r="B338" i="8" s="1"/>
  <c r="B339" i="8" s="1"/>
  <c r="B340" i="8" s="1"/>
  <c r="B341" i="8" s="1"/>
  <c r="B342" i="8" s="1"/>
  <c r="B343" i="8" s="1"/>
  <c r="B344" i="8" s="1"/>
  <c r="B345" i="8" s="1"/>
  <c r="B346" i="8" s="1"/>
  <c r="B347" i="8" s="1"/>
  <c r="B348" i="8" s="1"/>
  <c r="B349" i="8" s="1"/>
  <c r="B350" i="8" s="1"/>
  <c r="B351" i="8" s="1"/>
  <c r="B352" i="8" s="1"/>
  <c r="B353" i="8" s="1"/>
  <c r="B354" i="8" s="1"/>
  <c r="B355" i="8" s="1"/>
  <c r="B356" i="8" s="1"/>
  <c r="B357" i="8" s="1"/>
  <c r="B358" i="8" s="1"/>
  <c r="B359" i="8" s="1"/>
  <c r="B360" i="8" s="1"/>
  <c r="B361" i="8" s="1"/>
  <c r="B362" i="8" s="1"/>
  <c r="B363" i="8" s="1"/>
  <c r="B364" i="8" s="1"/>
  <c r="B365" i="8" s="1"/>
  <c r="B366" i="8" s="1"/>
  <c r="B367" i="8" s="1"/>
  <c r="B368" i="8" s="1"/>
  <c r="B369" i="8" s="1"/>
  <c r="B370" i="8" s="1"/>
  <c r="B371" i="8" s="1"/>
  <c r="B372" i="8" s="1"/>
  <c r="B373" i="8" s="1"/>
  <c r="B374" i="8" s="1"/>
  <c r="B375" i="8" s="1"/>
  <c r="B376" i="8" s="1"/>
  <c r="B377" i="8" s="1"/>
  <c r="B378" i="8" s="1"/>
  <c r="B379" i="8" s="1"/>
  <c r="B380" i="8" s="1"/>
  <c r="B381" i="8" s="1"/>
  <c r="B382" i="8" s="1"/>
  <c r="B383" i="8" s="1"/>
  <c r="B384" i="8" s="1"/>
  <c r="B385" i="8" s="1"/>
  <c r="B386" i="8" s="1"/>
  <c r="B387" i="8" s="1"/>
  <c r="B388" i="8" s="1"/>
  <c r="B389" i="8" s="1"/>
  <c r="B390" i="8" s="1"/>
  <c r="B391" i="8" s="1"/>
  <c r="B392" i="8" s="1"/>
  <c r="B393" i="8" s="1"/>
  <c r="B394" i="8" s="1"/>
  <c r="B395" i="8" s="1"/>
  <c r="B396" i="8" s="1"/>
  <c r="B397" i="8" s="1"/>
  <c r="B398" i="8" s="1"/>
  <c r="B399" i="8" s="1"/>
  <c r="B400" i="8" s="1"/>
  <c r="B401" i="8" s="1"/>
  <c r="B402" i="8" s="1"/>
  <c r="B403" i="8" s="1"/>
  <c r="B404" i="8" s="1"/>
  <c r="B405" i="8" s="1"/>
  <c r="B406" i="8" s="1"/>
  <c r="B407" i="8" s="1"/>
  <c r="B408" i="8" s="1"/>
  <c r="B409" i="8" s="1"/>
  <c r="B410" i="8" s="1"/>
  <c r="B411" i="8" s="1"/>
  <c r="B412" i="8" s="1"/>
  <c r="B413" i="8" s="1"/>
  <c r="B414" i="8" s="1"/>
  <c r="B415" i="8" s="1"/>
  <c r="B416" i="8" s="1"/>
  <c r="B417" i="8" s="1"/>
  <c r="B418" i="8" s="1"/>
  <c r="B419" i="8" s="1"/>
  <c r="B420" i="8" s="1"/>
  <c r="B421" i="8" s="1"/>
  <c r="B422" i="8" s="1"/>
  <c r="B423" i="8" s="1"/>
  <c r="B424" i="8" s="1"/>
  <c r="B425" i="8" s="1"/>
  <c r="B426" i="8" s="1"/>
  <c r="B427" i="8" s="1"/>
  <c r="B428" i="8" s="1"/>
  <c r="B429" i="8" s="1"/>
  <c r="B430" i="8" s="1"/>
  <c r="B431" i="8" s="1"/>
  <c r="B432" i="8" s="1"/>
  <c r="B433" i="8" s="1"/>
  <c r="B434" i="8" s="1"/>
  <c r="B435" i="8" s="1"/>
  <c r="B436" i="8" s="1"/>
  <c r="B437" i="8" s="1"/>
  <c r="B438" i="8" s="1"/>
  <c r="B439" i="8" s="1"/>
  <c r="B440" i="8" s="1"/>
  <c r="B441" i="8" s="1"/>
  <c r="B442" i="8" s="1"/>
  <c r="B443" i="8" s="1"/>
  <c r="B444" i="8" s="1"/>
  <c r="B445" i="8" s="1"/>
  <c r="B446" i="8" s="1"/>
  <c r="B447" i="8" s="1"/>
  <c r="B448" i="8" s="1"/>
  <c r="B449" i="8" s="1"/>
  <c r="B450" i="8" s="1"/>
  <c r="B451" i="8" s="1"/>
  <c r="B452" i="8" s="1"/>
  <c r="B453" i="8" s="1"/>
  <c r="B454" i="8" s="1"/>
  <c r="B455" i="8" s="1"/>
  <c r="B456" i="8" s="1"/>
  <c r="B457" i="8" s="1"/>
  <c r="B458" i="8" s="1"/>
  <c r="B459" i="8" s="1"/>
  <c r="B460" i="8" s="1"/>
  <c r="B461" i="8" s="1"/>
  <c r="B462" i="8" s="1"/>
  <c r="B463" i="8" s="1"/>
  <c r="B464" i="8" s="1"/>
  <c r="B465" i="8" s="1"/>
  <c r="B466" i="8" s="1"/>
  <c r="B467" i="8" s="1"/>
  <c r="B468" i="8" s="1"/>
  <c r="B469" i="8" s="1"/>
  <c r="B470" i="8" s="1"/>
  <c r="B471" i="8" s="1"/>
  <c r="B472" i="8" s="1"/>
  <c r="B473" i="8" s="1"/>
  <c r="B474" i="8" s="1"/>
  <c r="B475" i="8" s="1"/>
  <c r="B476" i="8" s="1"/>
  <c r="B477" i="8" s="1"/>
  <c r="B478" i="8" s="1"/>
  <c r="B479" i="8" s="1"/>
  <c r="B480" i="8" s="1"/>
  <c r="B481" i="8" s="1"/>
  <c r="B482" i="8" s="1"/>
  <c r="B483" i="8" s="1"/>
  <c r="B484" i="8" s="1"/>
  <c r="B485" i="8" s="1"/>
  <c r="B486" i="8" s="1"/>
  <c r="B487" i="8" s="1"/>
  <c r="B488" i="8" s="1"/>
  <c r="B489" i="8" s="1"/>
  <c r="B490" i="8" s="1"/>
  <c r="B491" i="8" s="1"/>
  <c r="B492" i="8" s="1"/>
  <c r="B493" i="8" s="1"/>
  <c r="B494" i="8" s="1"/>
  <c r="B495" i="8" s="1"/>
  <c r="B496" i="8" s="1"/>
  <c r="B497" i="8" s="1"/>
  <c r="B498" i="8" s="1"/>
  <c r="B499" i="8" s="1"/>
  <c r="B500" i="8" s="1"/>
  <c r="B501" i="8" s="1"/>
  <c r="B502" i="8" s="1"/>
  <c r="B503" i="8" s="1"/>
  <c r="B504" i="8" s="1"/>
  <c r="B505" i="8" s="1"/>
  <c r="B506" i="8" s="1"/>
  <c r="B507" i="8" s="1"/>
  <c r="B508" i="8" s="1"/>
  <c r="B509" i="8" s="1"/>
  <c r="B510" i="8" s="1"/>
  <c r="B511" i="8" s="1"/>
  <c r="B512" i="8" s="1"/>
  <c r="B513" i="8" s="1"/>
  <c r="B514" i="8" s="1"/>
  <c r="B515" i="8" s="1"/>
  <c r="B516" i="8" s="1"/>
  <c r="B517" i="8" s="1"/>
  <c r="B518" i="8" s="1"/>
  <c r="B519" i="8" s="1"/>
  <c r="B520" i="8" s="1"/>
  <c r="B521" i="8" s="1"/>
  <c r="B522" i="8" s="1"/>
  <c r="B523" i="8" s="1"/>
  <c r="B524" i="8" s="1"/>
  <c r="B525" i="8" s="1"/>
  <c r="B526" i="8" s="1"/>
  <c r="B527" i="8" s="1"/>
  <c r="B528" i="8" s="1"/>
  <c r="B529" i="8" s="1"/>
  <c r="B530" i="8" s="1"/>
  <c r="B531" i="8" s="1"/>
  <c r="B532" i="8" s="1"/>
  <c r="B533" i="8" s="1"/>
  <c r="B534" i="8" s="1"/>
  <c r="B535" i="8" s="1"/>
  <c r="B536" i="8" s="1"/>
  <c r="B537" i="8" s="1"/>
  <c r="B538" i="8" s="1"/>
  <c r="B539" i="8" s="1"/>
  <c r="B540" i="8" s="1"/>
  <c r="B541" i="8" s="1"/>
  <c r="B542" i="8" s="1"/>
  <c r="B543" i="8" s="1"/>
  <c r="B544" i="8" s="1"/>
  <c r="B545" i="8" s="1"/>
  <c r="B546" i="8" s="1"/>
  <c r="B547" i="8" s="1"/>
  <c r="B548" i="8" s="1"/>
  <c r="B549" i="8" s="1"/>
  <c r="B550" i="8" s="1"/>
  <c r="B551" i="8" s="1"/>
  <c r="B552" i="8" s="1"/>
  <c r="B553" i="8" s="1"/>
  <c r="B554" i="8" s="1"/>
  <c r="B555" i="8" s="1"/>
  <c r="B556" i="8" s="1"/>
  <c r="B557" i="8" s="1"/>
  <c r="B558" i="8" s="1"/>
  <c r="B559" i="8" s="1"/>
  <c r="B560" i="8" s="1"/>
  <c r="B561" i="8" s="1"/>
  <c r="B562" i="8" s="1"/>
  <c r="B563" i="8" s="1"/>
  <c r="B564" i="8" s="1"/>
  <c r="B565" i="8" s="1"/>
  <c r="B566" i="8" s="1"/>
  <c r="B567" i="8" s="1"/>
  <c r="B568" i="8" s="1"/>
  <c r="B569" i="8" s="1"/>
  <c r="B570" i="8" s="1"/>
  <c r="B571" i="8" s="1"/>
  <c r="B572" i="8" s="1"/>
  <c r="B573" i="8" s="1"/>
  <c r="B574" i="8" s="1"/>
  <c r="B575" i="8" s="1"/>
  <c r="B576" i="8" s="1"/>
  <c r="B577" i="8" s="1"/>
  <c r="B578" i="8" s="1"/>
  <c r="B579" i="8" s="1"/>
  <c r="B580" i="8" s="1"/>
  <c r="B581" i="8" s="1"/>
  <c r="B582" i="8" s="1"/>
  <c r="B583" i="8" s="1"/>
  <c r="B584" i="8" s="1"/>
  <c r="B585" i="8" s="1"/>
  <c r="B586" i="8" s="1"/>
  <c r="B587" i="8" s="1"/>
  <c r="B588" i="8" s="1"/>
  <c r="B589" i="8" s="1"/>
  <c r="B590" i="8" s="1"/>
  <c r="B591" i="8" s="1"/>
  <c r="B592" i="8" s="1"/>
  <c r="B593" i="8" s="1"/>
  <c r="B594" i="8" s="1"/>
  <c r="B595" i="8" s="1"/>
  <c r="B596" i="8" s="1"/>
  <c r="B597" i="8" s="1"/>
  <c r="B598" i="8" s="1"/>
  <c r="B599" i="8" s="1"/>
  <c r="B600" i="8" s="1"/>
  <c r="B601" i="8" s="1"/>
  <c r="B602" i="8" s="1"/>
  <c r="B603" i="8" s="1"/>
  <c r="B604" i="8" s="1"/>
  <c r="B605" i="8" s="1"/>
  <c r="B606" i="8" s="1"/>
  <c r="B607" i="8" s="1"/>
  <c r="B608" i="8" s="1"/>
  <c r="B609" i="8" s="1"/>
  <c r="B610" i="8" s="1"/>
  <c r="B611" i="8" s="1"/>
  <c r="B612" i="8" s="1"/>
  <c r="B613" i="8" s="1"/>
  <c r="B614" i="8" s="1"/>
  <c r="B615" i="8" s="1"/>
  <c r="B616" i="8" s="1"/>
  <c r="B617" i="8" s="1"/>
  <c r="B618" i="8" s="1"/>
  <c r="B619" i="8" s="1"/>
  <c r="B620" i="8" s="1"/>
  <c r="B621" i="8" s="1"/>
  <c r="B622" i="8" s="1"/>
  <c r="B623" i="8" s="1"/>
  <c r="B624" i="8" s="1"/>
  <c r="B625" i="8" s="1"/>
  <c r="B626" i="8" s="1"/>
  <c r="B627" i="8" s="1"/>
  <c r="B628" i="8" s="1"/>
  <c r="B629" i="8" s="1"/>
  <c r="B630" i="8" s="1"/>
  <c r="B631" i="8" s="1"/>
  <c r="B632" i="8" s="1"/>
  <c r="B633" i="8" s="1"/>
  <c r="B634" i="8" s="1"/>
  <c r="B635" i="8" s="1"/>
  <c r="B636" i="8" s="1"/>
  <c r="B637" i="8" s="1"/>
  <c r="B638" i="8" s="1"/>
  <c r="B639" i="8" s="1"/>
  <c r="B640" i="8" s="1"/>
  <c r="B641" i="8" s="1"/>
  <c r="B642" i="8" s="1"/>
  <c r="B643" i="8" s="1"/>
  <c r="B644" i="8" s="1"/>
  <c r="B645" i="8" s="1"/>
  <c r="B646" i="8" s="1"/>
  <c r="B647" i="8" s="1"/>
  <c r="B648" i="8" s="1"/>
  <c r="B649" i="8" s="1"/>
  <c r="B650" i="8" s="1"/>
  <c r="B651" i="8" s="1"/>
  <c r="B652" i="8" s="1"/>
  <c r="B653" i="8" s="1"/>
  <c r="B654" i="8" s="1"/>
  <c r="B655" i="8" s="1"/>
  <c r="B656" i="8" s="1"/>
  <c r="B657" i="8" s="1"/>
  <c r="B658" i="8" s="1"/>
  <c r="B659" i="8" s="1"/>
  <c r="B660" i="8" s="1"/>
  <c r="B661" i="8" s="1"/>
  <c r="B662" i="8" s="1"/>
  <c r="B663" i="8" s="1"/>
  <c r="B664" i="8" s="1"/>
  <c r="B665" i="8" s="1"/>
  <c r="B666" i="8" s="1"/>
  <c r="B667" i="8" s="1"/>
  <c r="B668" i="8" s="1"/>
  <c r="B669" i="8" s="1"/>
  <c r="B670" i="8" s="1"/>
  <c r="B671" i="8" s="1"/>
  <c r="B672" i="8" s="1"/>
  <c r="B673" i="8" s="1"/>
  <c r="B674" i="8" s="1"/>
  <c r="B675" i="8" s="1"/>
  <c r="B676" i="8" s="1"/>
  <c r="B677" i="8" s="1"/>
  <c r="B678" i="8" s="1"/>
  <c r="B679" i="8" s="1"/>
  <c r="B680" i="8" s="1"/>
  <c r="B681" i="8" s="1"/>
  <c r="B682" i="8" s="1"/>
  <c r="B683" i="8" s="1"/>
  <c r="B684" i="8" s="1"/>
  <c r="B685" i="8" s="1"/>
  <c r="B686" i="8" s="1"/>
  <c r="B687" i="8" s="1"/>
  <c r="B688" i="8" s="1"/>
  <c r="B689" i="8" s="1"/>
  <c r="B690" i="8" s="1"/>
  <c r="B691" i="8" s="1"/>
  <c r="B692" i="8" s="1"/>
  <c r="B693" i="8" s="1"/>
  <c r="B694" i="8" s="1"/>
  <c r="B695" i="8" s="1"/>
  <c r="B696" i="8" s="1"/>
  <c r="B697" i="8" s="1"/>
  <c r="B698" i="8" s="1"/>
  <c r="B699" i="8" s="1"/>
  <c r="B700" i="8" s="1"/>
  <c r="B701" i="8" s="1"/>
  <c r="B702" i="8" s="1"/>
  <c r="B703" i="8" s="1"/>
  <c r="B704" i="8" s="1"/>
  <c r="B705" i="8" s="1"/>
  <c r="B706" i="8" s="1"/>
  <c r="B707" i="8" s="1"/>
  <c r="B708" i="8" s="1"/>
  <c r="B709" i="8" s="1"/>
  <c r="B710" i="8" s="1"/>
  <c r="B711" i="8" s="1"/>
  <c r="B712" i="8" s="1"/>
  <c r="B713" i="8" s="1"/>
  <c r="B714" i="8" s="1"/>
  <c r="B715" i="8" s="1"/>
  <c r="B716" i="8" s="1"/>
  <c r="B717" i="8" s="1"/>
  <c r="B718" i="8" s="1"/>
  <c r="B719" i="8" s="1"/>
  <c r="B720" i="8" s="1"/>
  <c r="B721" i="8" s="1"/>
  <c r="B722" i="8" s="1"/>
  <c r="B723" i="8" s="1"/>
  <c r="B724" i="8" s="1"/>
  <c r="B725" i="8" s="1"/>
  <c r="B726" i="8" s="1"/>
  <c r="B727" i="8" s="1"/>
  <c r="B728" i="8" s="1"/>
  <c r="B729" i="8" s="1"/>
  <c r="B730" i="8" s="1"/>
  <c r="B731" i="8" s="1"/>
  <c r="B732" i="8" s="1"/>
  <c r="B733" i="8" s="1"/>
  <c r="B734" i="8" s="1"/>
  <c r="B735" i="8" s="1"/>
  <c r="B736" i="8" s="1"/>
  <c r="B737" i="8" s="1"/>
  <c r="B738" i="8" s="1"/>
  <c r="B739" i="8" s="1"/>
  <c r="B740" i="8" s="1"/>
  <c r="B741" i="8" s="1"/>
  <c r="B742" i="8" s="1"/>
  <c r="B743" i="8" s="1"/>
  <c r="B744" i="8" s="1"/>
  <c r="B745" i="8" s="1"/>
  <c r="B746" i="8" s="1"/>
  <c r="B747" i="8" s="1"/>
  <c r="B748" i="8" s="1"/>
  <c r="B749" i="8" s="1"/>
  <c r="B750" i="8" s="1"/>
  <c r="B751" i="8" s="1"/>
  <c r="B752" i="8" s="1"/>
  <c r="B753" i="8" s="1"/>
  <c r="B754" i="8" s="1"/>
  <c r="B755" i="8" s="1"/>
  <c r="B756" i="8" s="1"/>
  <c r="B757" i="8" s="1"/>
  <c r="B758" i="8" s="1"/>
  <c r="B759" i="8" s="1"/>
  <c r="B760" i="8" s="1"/>
  <c r="B761" i="8" s="1"/>
  <c r="B762" i="8" s="1"/>
  <c r="B763" i="8" s="1"/>
  <c r="B764" i="8" s="1"/>
  <c r="B765" i="8" s="1"/>
  <c r="B766" i="8" s="1"/>
  <c r="B767" i="8" s="1"/>
  <c r="B768" i="8" s="1"/>
  <c r="B769" i="8" s="1"/>
  <c r="B770" i="8" s="1"/>
  <c r="B771" i="8" s="1"/>
  <c r="B772" i="8" s="1"/>
  <c r="B773" i="8" s="1"/>
  <c r="B774" i="8" s="1"/>
  <c r="B775" i="8" s="1"/>
  <c r="B776" i="8" s="1"/>
  <c r="B777" i="8" s="1"/>
  <c r="B778" i="8" s="1"/>
  <c r="B779" i="8" s="1"/>
  <c r="B780" i="8" s="1"/>
  <c r="B781" i="8" s="1"/>
  <c r="B782" i="8" s="1"/>
  <c r="B783" i="8" s="1"/>
  <c r="B784" i="8" s="1"/>
  <c r="B785" i="8" s="1"/>
  <c r="B786" i="8" s="1"/>
  <c r="B787" i="8" s="1"/>
  <c r="B788" i="8" s="1"/>
  <c r="B789" i="8" s="1"/>
  <c r="B790" i="8" s="1"/>
  <c r="B791" i="8" s="1"/>
  <c r="B792" i="8" s="1"/>
  <c r="B793" i="8" s="1"/>
  <c r="B794" i="8" s="1"/>
  <c r="B795" i="8" s="1"/>
  <c r="B796" i="8" s="1"/>
  <c r="B797" i="8" s="1"/>
  <c r="B798" i="8" s="1"/>
  <c r="B799" i="8" s="1"/>
  <c r="B800" i="8" s="1"/>
  <c r="B801" i="8" s="1"/>
  <c r="B802" i="8" s="1"/>
  <c r="B803" i="8" s="1"/>
  <c r="B804" i="8" s="1"/>
  <c r="B805" i="8" s="1"/>
  <c r="B806" i="8" s="1"/>
  <c r="B807" i="8" s="1"/>
  <c r="B808" i="8" s="1"/>
  <c r="B809" i="8" s="1"/>
  <c r="B810" i="8" s="1"/>
  <c r="B811" i="8" s="1"/>
  <c r="B812" i="8" s="1"/>
  <c r="B813" i="8" s="1"/>
  <c r="B814" i="8" s="1"/>
  <c r="B815" i="8" s="1"/>
  <c r="B816" i="8" s="1"/>
  <c r="B817" i="8" s="1"/>
  <c r="B818" i="8" s="1"/>
  <c r="B819" i="8" s="1"/>
  <c r="B820" i="8" s="1"/>
  <c r="B821" i="8" s="1"/>
  <c r="B822" i="8" s="1"/>
  <c r="B823" i="8" s="1"/>
  <c r="B824" i="8" s="1"/>
  <c r="B825" i="8" s="1"/>
  <c r="B826" i="8" s="1"/>
  <c r="B827" i="8" s="1"/>
  <c r="B828" i="8" s="1"/>
  <c r="B829" i="8" s="1"/>
  <c r="B830" i="8" s="1"/>
  <c r="B831" i="8" s="1"/>
  <c r="B832" i="8" s="1"/>
  <c r="B833" i="8" s="1"/>
  <c r="B834" i="8" s="1"/>
  <c r="B835" i="8" s="1"/>
  <c r="B836" i="8" s="1"/>
  <c r="B837" i="8" s="1"/>
  <c r="B838" i="8" s="1"/>
  <c r="B839" i="8" s="1"/>
  <c r="B840" i="8" s="1"/>
  <c r="B841" i="8" s="1"/>
  <c r="B842" i="8" s="1"/>
  <c r="B843" i="8" s="1"/>
  <c r="B844" i="8" s="1"/>
  <c r="B845" i="8" s="1"/>
  <c r="B846" i="8" s="1"/>
  <c r="B847" i="8" s="1"/>
  <c r="B848" i="8" s="1"/>
  <c r="B849" i="8" s="1"/>
  <c r="B850" i="8" s="1"/>
  <c r="B851" i="8" s="1"/>
  <c r="B852" i="8" s="1"/>
  <c r="B853" i="8" s="1"/>
  <c r="B854" i="8" s="1"/>
  <c r="B855" i="8" s="1"/>
  <c r="B856" i="8" s="1"/>
  <c r="B857" i="8" s="1"/>
  <c r="B858" i="8" s="1"/>
  <c r="B859" i="8" s="1"/>
  <c r="B860" i="8" s="1"/>
  <c r="B861" i="8" s="1"/>
  <c r="B862" i="8" s="1"/>
  <c r="B863" i="8" s="1"/>
  <c r="B864" i="8" s="1"/>
  <c r="B865" i="8" s="1"/>
  <c r="B866" i="8" s="1"/>
  <c r="B867" i="8" s="1"/>
  <c r="B868" i="8" s="1"/>
  <c r="B869" i="8" s="1"/>
  <c r="B870" i="8" s="1"/>
  <c r="B871" i="8" s="1"/>
  <c r="B872" i="8" s="1"/>
  <c r="B873" i="8" s="1"/>
  <c r="B874" i="8" s="1"/>
  <c r="B875" i="8" s="1"/>
  <c r="B876" i="8" s="1"/>
  <c r="B877" i="8" s="1"/>
  <c r="B878" i="8" s="1"/>
  <c r="B879" i="8" s="1"/>
  <c r="B880" i="8" s="1"/>
  <c r="B881" i="8" s="1"/>
  <c r="B882" i="8" s="1"/>
  <c r="B883" i="8" s="1"/>
  <c r="B884" i="8" s="1"/>
  <c r="B885" i="8" s="1"/>
  <c r="B886" i="8" s="1"/>
  <c r="B887" i="8" s="1"/>
  <c r="B888" i="8" s="1"/>
  <c r="B889" i="8" s="1"/>
  <c r="B890" i="8" s="1"/>
  <c r="B891" i="8" s="1"/>
  <c r="B892" i="8" s="1"/>
  <c r="B893" i="8" s="1"/>
  <c r="B894" i="8" s="1"/>
  <c r="B895" i="8" s="1"/>
  <c r="B896" i="8" s="1"/>
  <c r="B897" i="8" s="1"/>
  <c r="B898" i="8" s="1"/>
  <c r="B899" i="8" s="1"/>
  <c r="B900" i="8" s="1"/>
  <c r="B901" i="8" s="1"/>
  <c r="B902" i="8" s="1"/>
  <c r="B903" i="8" s="1"/>
  <c r="B904" i="8" s="1"/>
  <c r="B905" i="8" s="1"/>
  <c r="B906" i="8" s="1"/>
  <c r="B907" i="8" s="1"/>
  <c r="B908" i="8" s="1"/>
  <c r="B909" i="8" s="1"/>
  <c r="B910" i="8" s="1"/>
  <c r="B911" i="8" s="1"/>
  <c r="B912" i="8" s="1"/>
  <c r="B913" i="8" s="1"/>
  <c r="B914" i="8" s="1"/>
  <c r="B915" i="8" s="1"/>
  <c r="B916" i="8" s="1"/>
  <c r="B917" i="8" s="1"/>
  <c r="B918" i="8" s="1"/>
  <c r="B919" i="8" s="1"/>
  <c r="B920" i="8" s="1"/>
  <c r="B921" i="8" s="1"/>
  <c r="B922" i="8" s="1"/>
  <c r="B923" i="8" s="1"/>
  <c r="B924" i="8" s="1"/>
  <c r="B925" i="8" s="1"/>
  <c r="B926" i="8" s="1"/>
  <c r="B927" i="8" s="1"/>
  <c r="B928" i="8" s="1"/>
  <c r="B929" i="8" s="1"/>
  <c r="B930" i="8" s="1"/>
  <c r="B931" i="8" s="1"/>
  <c r="B932" i="8" s="1"/>
  <c r="B933" i="8" s="1"/>
  <c r="B934" i="8" s="1"/>
  <c r="B935" i="8" s="1"/>
  <c r="B936" i="8" s="1"/>
  <c r="B937" i="8" s="1"/>
  <c r="B938" i="8" s="1"/>
  <c r="B939" i="8" s="1"/>
  <c r="B940" i="8" s="1"/>
  <c r="B941" i="8" s="1"/>
  <c r="B942" i="8" s="1"/>
  <c r="B943" i="8" s="1"/>
  <c r="B944" i="8" s="1"/>
  <c r="B945" i="8" s="1"/>
  <c r="B946" i="8" s="1"/>
  <c r="B947" i="8" s="1"/>
  <c r="B948" i="8" s="1"/>
  <c r="B949" i="8" s="1"/>
  <c r="B950" i="8" s="1"/>
  <c r="B951" i="8" s="1"/>
  <c r="B952" i="8" s="1"/>
  <c r="B953" i="8" s="1"/>
  <c r="B954" i="8" s="1"/>
  <c r="B955" i="8" s="1"/>
  <c r="B956" i="8" s="1"/>
  <c r="B957" i="8" s="1"/>
  <c r="B958" i="8" s="1"/>
  <c r="B959" i="8" s="1"/>
  <c r="B960" i="8" s="1"/>
  <c r="B961" i="8" s="1"/>
  <c r="B962" i="8" s="1"/>
  <c r="B963" i="8" s="1"/>
  <c r="B964" i="8" s="1"/>
  <c r="B965" i="8" s="1"/>
  <c r="B966" i="8" s="1"/>
  <c r="B967" i="8" s="1"/>
  <c r="B968" i="8" s="1"/>
  <c r="B969" i="8" s="1"/>
  <c r="B970" i="8" s="1"/>
  <c r="B971" i="8" s="1"/>
  <c r="B972" i="8" s="1"/>
  <c r="B973" i="8" s="1"/>
  <c r="B974" i="8" s="1"/>
  <c r="B975" i="8" s="1"/>
  <c r="B976" i="8" s="1"/>
  <c r="B977" i="8" s="1"/>
  <c r="B978" i="8" s="1"/>
  <c r="B979" i="8" s="1"/>
  <c r="B980" i="8" s="1"/>
  <c r="B981" i="8" s="1"/>
  <c r="B982" i="8" s="1"/>
  <c r="B983" i="8" s="1"/>
  <c r="B984" i="8" s="1"/>
  <c r="B985" i="8" s="1"/>
  <c r="B986" i="8" s="1"/>
  <c r="B987" i="8" s="1"/>
  <c r="B988" i="8" s="1"/>
  <c r="B989" i="8" s="1"/>
  <c r="B990" i="8" s="1"/>
  <c r="B991" i="8" s="1"/>
  <c r="B992" i="8" s="1"/>
  <c r="B993" i="8" s="1"/>
  <c r="B994" i="8" s="1"/>
  <c r="B995" i="8" s="1"/>
  <c r="B996" i="8" s="1"/>
  <c r="B997" i="8" s="1"/>
  <c r="B998" i="8" s="1"/>
  <c r="B999" i="8" s="1"/>
  <c r="B1000" i="8" s="1"/>
  <c r="B1001" i="8" s="1"/>
  <c r="B1002" i="8" s="1"/>
  <c r="B1003" i="8" s="1"/>
  <c r="B1004" i="8" s="1"/>
  <c r="B1005" i="8" s="1"/>
  <c r="B1006" i="8" s="1"/>
  <c r="B1007" i="8" s="1"/>
  <c r="B1008" i="8" s="1"/>
  <c r="B1009" i="8" s="1"/>
  <c r="B1010" i="8" s="1"/>
  <c r="B1011" i="8" s="1"/>
  <c r="B1012" i="8" s="1"/>
  <c r="B1013" i="8" s="1"/>
  <c r="B1014" i="8" s="1"/>
  <c r="B1015" i="8" s="1"/>
  <c r="B1016" i="8" s="1"/>
  <c r="B1017" i="8" s="1"/>
  <c r="B1018" i="8" s="1"/>
  <c r="B1019" i="8" s="1"/>
  <c r="B1020" i="8" s="1"/>
  <c r="B1021" i="8" s="1"/>
  <c r="B1022" i="8" s="1"/>
  <c r="B1023" i="8" s="1"/>
  <c r="B1024" i="8" s="1"/>
  <c r="B1025" i="8" s="1"/>
  <c r="B1026" i="8" s="1"/>
  <c r="B1027" i="8" s="1"/>
  <c r="B1028" i="8" s="1"/>
  <c r="B1029" i="8" s="1"/>
  <c r="B1030" i="8" s="1"/>
  <c r="B1031" i="8" s="1"/>
  <c r="B1032" i="8" s="1"/>
  <c r="B1033" i="8" s="1"/>
  <c r="B1034" i="8" s="1"/>
  <c r="B1035" i="8" s="1"/>
  <c r="B1036" i="8" s="1"/>
  <c r="B1037" i="8" s="1"/>
  <c r="B1038" i="8" s="1"/>
  <c r="B1039" i="8" s="1"/>
  <c r="B1040" i="8" s="1"/>
  <c r="B1041" i="8" s="1"/>
  <c r="B1042" i="8" s="1"/>
  <c r="B1043" i="8" s="1"/>
  <c r="B1044" i="8" s="1"/>
  <c r="B1045" i="8" s="1"/>
  <c r="B1046" i="8" s="1"/>
  <c r="B1047" i="8" s="1"/>
  <c r="B1048" i="8" s="1"/>
  <c r="B1049" i="8" s="1"/>
  <c r="B1050" i="8" s="1"/>
  <c r="B1051" i="8" s="1"/>
  <c r="B1052" i="8" s="1"/>
  <c r="B1053" i="8" s="1"/>
  <c r="B1054" i="8" s="1"/>
  <c r="B1055" i="8" s="1"/>
  <c r="B1056" i="8" s="1"/>
  <c r="B1057" i="8" s="1"/>
  <c r="B1058" i="8" s="1"/>
  <c r="B1059" i="8" s="1"/>
  <c r="B1060" i="8" s="1"/>
  <c r="B1061" i="8" s="1"/>
  <c r="B1062" i="8" s="1"/>
  <c r="B1063" i="8" s="1"/>
  <c r="B1064" i="8" s="1"/>
  <c r="B1065" i="8" s="1"/>
  <c r="B1066" i="8" s="1"/>
  <c r="B1067" i="8" s="1"/>
  <c r="B1068" i="8" s="1"/>
  <c r="B1069" i="8" s="1"/>
  <c r="B1070" i="8" s="1"/>
  <c r="B1071" i="8" s="1"/>
  <c r="B1072" i="8" s="1"/>
  <c r="B1073" i="8" s="1"/>
  <c r="B1074" i="8" s="1"/>
  <c r="B1075" i="8" s="1"/>
  <c r="D76" i="8"/>
  <c r="C76" i="8"/>
  <c r="B77" i="8"/>
  <c r="C71" i="8"/>
  <c r="C70" i="8"/>
  <c r="E56" i="8"/>
  <c r="D56" i="8"/>
  <c r="C58" i="8"/>
  <c r="C60" i="8" s="1"/>
  <c r="C57" i="8"/>
  <c r="F57" i="8" s="1"/>
  <c r="C56" i="8"/>
  <c r="F56" i="8" s="1"/>
  <c r="F58" i="8" s="1"/>
  <c r="D41" i="8"/>
  <c r="F41" i="8"/>
  <c r="C41" i="8"/>
  <c r="D42" i="8"/>
  <c r="D43" i="8" s="1"/>
  <c r="D44" i="8" s="1"/>
  <c r="E42" i="8"/>
  <c r="E43" i="8" s="1"/>
  <c r="F42" i="8"/>
  <c r="F43" i="8" s="1"/>
  <c r="C42" i="8"/>
  <c r="C43" i="8" s="1"/>
  <c r="C44" i="8" s="1"/>
  <c r="C46" i="8" s="1"/>
  <c r="C29" i="8"/>
  <c r="C28" i="8"/>
  <c r="C31" i="8" s="1"/>
  <c r="C30" i="8"/>
  <c r="E27" i="8"/>
  <c r="E30" i="8" s="1"/>
  <c r="D27" i="8"/>
  <c r="D30" i="8" s="1"/>
  <c r="C27" i="8"/>
  <c r="E41" i="8" s="1"/>
  <c r="E44" i="8" s="1"/>
  <c r="E45" i="8" s="1"/>
  <c r="C14" i="8"/>
  <c r="C15" i="8"/>
  <c r="C16" i="8"/>
  <c r="C17" i="8"/>
  <c r="C18" i="8"/>
  <c r="C19" i="8"/>
  <c r="C20" i="8"/>
  <c r="D20" i="8"/>
  <c r="D19" i="8"/>
  <c r="D18" i="8"/>
  <c r="D17" i="8"/>
  <c r="D16" i="8"/>
  <c r="D15" i="8"/>
  <c r="D14" i="8"/>
  <c r="E7" i="4"/>
  <c r="F7" i="4" s="1"/>
  <c r="G7" i="4" s="1"/>
  <c r="H7" i="4" s="1"/>
  <c r="I7" i="4" s="1"/>
  <c r="E6" i="4"/>
  <c r="F6" i="4" s="1"/>
  <c r="G6" i="4" s="1"/>
  <c r="H6" i="4" s="1"/>
  <c r="I6" i="4" s="1"/>
  <c r="E5" i="4"/>
  <c r="F5" i="4" s="1"/>
  <c r="G5" i="4" s="1"/>
  <c r="H5" i="4" s="1"/>
  <c r="I5" i="4" s="1"/>
  <c r="C160" i="4"/>
  <c r="C137" i="4"/>
  <c r="F131" i="4"/>
  <c r="G131" i="4" s="1"/>
  <c r="D120" i="4"/>
  <c r="D115" i="4"/>
  <c r="D121" i="4" s="1"/>
  <c r="F98" i="4"/>
  <c r="G98" i="4"/>
  <c r="H98" i="4"/>
  <c r="I98" i="4"/>
  <c r="E98" i="4"/>
  <c r="D82" i="4"/>
  <c r="D79" i="4"/>
  <c r="F53" i="4"/>
  <c r="G53" i="4"/>
  <c r="H53" i="4"/>
  <c r="I53" i="4"/>
  <c r="F54" i="4"/>
  <c r="G54" i="4"/>
  <c r="H54" i="4"/>
  <c r="I54" i="4"/>
  <c r="F55" i="4"/>
  <c r="G55" i="4"/>
  <c r="H55" i="4"/>
  <c r="I55" i="4"/>
  <c r="E55" i="4"/>
  <c r="E54" i="4"/>
  <c r="E53" i="4"/>
  <c r="D58" i="4"/>
  <c r="D59" i="4" s="1"/>
  <c r="D52" i="4"/>
  <c r="F34" i="4"/>
  <c r="G34" i="4"/>
  <c r="H34" i="4"/>
  <c r="I34" i="4"/>
  <c r="E34" i="4"/>
  <c r="D37" i="4"/>
  <c r="D31" i="4"/>
  <c r="D5" i="4"/>
  <c r="D8" i="4" s="1"/>
  <c r="F83" i="3"/>
  <c r="E83" i="3"/>
  <c r="D83" i="3"/>
  <c r="D53" i="3"/>
  <c r="D55" i="3"/>
  <c r="E76" i="3"/>
  <c r="D76" i="3"/>
  <c r="E73" i="3"/>
  <c r="D73" i="3"/>
  <c r="E68" i="3"/>
  <c r="E66" i="3"/>
  <c r="D66" i="3"/>
  <c r="D69" i="3" s="1"/>
  <c r="D52" i="3"/>
  <c r="F50" i="3"/>
  <c r="F51" i="3" s="1"/>
  <c r="F55" i="3" s="1"/>
  <c r="F57" i="3" s="1"/>
  <c r="E50" i="3"/>
  <c r="E51" i="3" s="1"/>
  <c r="E55" i="3" s="1"/>
  <c r="E57" i="3" s="1"/>
  <c r="D50" i="3"/>
  <c r="D51" i="3" s="1"/>
  <c r="F11" i="3"/>
  <c r="F13" i="3" s="1"/>
  <c r="F14" i="3" s="1"/>
  <c r="E11" i="3"/>
  <c r="E13" i="3" s="1"/>
  <c r="E14" i="3" s="1"/>
  <c r="E31" i="3"/>
  <c r="F31" i="3"/>
  <c r="E32" i="3"/>
  <c r="F32" i="3"/>
  <c r="D32" i="3"/>
  <c r="D31" i="3"/>
  <c r="F30" i="3"/>
  <c r="F33" i="3" s="1"/>
  <c r="E30" i="3"/>
  <c r="E33" i="3" s="1"/>
  <c r="D30" i="3"/>
  <c r="D33" i="3" s="1"/>
  <c r="D13" i="3"/>
  <c r="D14" i="3" s="1"/>
  <c r="D129" i="2"/>
  <c r="E129" i="2"/>
  <c r="E130" i="2"/>
  <c r="E131" i="2"/>
  <c r="D131" i="2"/>
  <c r="D130" i="2"/>
  <c r="E102" i="2"/>
  <c r="F102" i="2"/>
  <c r="E103" i="2"/>
  <c r="E107" i="2" s="1"/>
  <c r="F103" i="2"/>
  <c r="F107" i="2" s="1"/>
  <c r="D103" i="2"/>
  <c r="D107" i="2" s="1"/>
  <c r="D102" i="2"/>
  <c r="D104" i="2" s="1"/>
  <c r="D106" i="2" s="1"/>
  <c r="E87" i="2"/>
  <c r="F87" i="2"/>
  <c r="D86" i="2"/>
  <c r="D87" i="2" s="1"/>
  <c r="E83" i="2"/>
  <c r="F83" i="2"/>
  <c r="D83" i="2"/>
  <c r="E85" i="2"/>
  <c r="F85" i="2"/>
  <c r="D85" i="2"/>
  <c r="C57" i="2"/>
  <c r="E58" i="2"/>
  <c r="E59" i="2"/>
  <c r="E60" i="2"/>
  <c r="E57" i="2"/>
  <c r="C58" i="2"/>
  <c r="C59" i="2"/>
  <c r="C60" i="2"/>
  <c r="F38" i="2"/>
  <c r="F39" i="2"/>
  <c r="F40" i="2"/>
  <c r="E38" i="2"/>
  <c r="E39" i="2"/>
  <c r="E40" i="2"/>
  <c r="D40" i="2"/>
  <c r="D39" i="2"/>
  <c r="D38" i="2"/>
  <c r="H18" i="2"/>
  <c r="H17" i="2"/>
  <c r="H16" i="2"/>
  <c r="H15" i="2"/>
  <c r="H14" i="2"/>
  <c r="H13" i="2"/>
  <c r="I12" i="2"/>
  <c r="H12" i="2"/>
  <c r="E496" i="8" l="1"/>
  <c r="E492" i="8"/>
  <c r="E488" i="8"/>
  <c r="E484" i="8"/>
  <c r="E480" i="8"/>
  <c r="E476" i="8"/>
  <c r="E472" i="8"/>
  <c r="E468" i="8"/>
  <c r="E464" i="8"/>
  <c r="E344" i="8"/>
  <c r="E340" i="8"/>
  <c r="E336" i="8"/>
  <c r="E332" i="8"/>
  <c r="E328" i="8"/>
  <c r="E324" i="8"/>
  <c r="E320" i="8"/>
  <c r="E316" i="8"/>
  <c r="E312" i="8"/>
  <c r="E308" i="8"/>
  <c r="E304" i="8"/>
  <c r="E300" i="8"/>
  <c r="E296" i="8"/>
  <c r="E292" i="8"/>
  <c r="E288" i="8"/>
  <c r="E284" i="8"/>
  <c r="E280" i="8"/>
  <c r="E276" i="8"/>
  <c r="E272" i="8"/>
  <c r="E268" i="8"/>
  <c r="E264" i="8"/>
  <c r="E260" i="8"/>
  <c r="E256" i="8"/>
  <c r="E252" i="8"/>
  <c r="E248" i="8"/>
  <c r="E244" i="8"/>
  <c r="E240" i="8"/>
  <c r="E236" i="8"/>
  <c r="E232" i="8"/>
  <c r="E228" i="8"/>
  <c r="E224" i="8"/>
  <c r="E220" i="8"/>
  <c r="E216" i="8"/>
  <c r="E212" i="8"/>
  <c r="E208" i="8"/>
  <c r="E204" i="8"/>
  <c r="E200" i="8"/>
  <c r="E196" i="8"/>
  <c r="E192" i="8"/>
  <c r="E188" i="8"/>
  <c r="E184" i="8"/>
  <c r="E180" i="8"/>
  <c r="E176" i="8"/>
  <c r="E172" i="8"/>
  <c r="E168" i="8"/>
  <c r="E164" i="8"/>
  <c r="E160" i="8"/>
  <c r="E156" i="8"/>
  <c r="E152" i="8"/>
  <c r="E148" i="8"/>
  <c r="E144" i="8"/>
  <c r="E140" i="8"/>
  <c r="E136" i="8"/>
  <c r="E132" i="8"/>
  <c r="E128" i="8"/>
  <c r="E124" i="8"/>
  <c r="E120" i="8"/>
  <c r="E116" i="8"/>
  <c r="E112" i="8"/>
  <c r="E108" i="8"/>
  <c r="E104" i="8"/>
  <c r="E100" i="8"/>
  <c r="E96" i="8"/>
  <c r="E92" i="8"/>
  <c r="E460" i="8"/>
  <c r="E456" i="8"/>
  <c r="E452" i="8"/>
  <c r="E448" i="8"/>
  <c r="E444" i="8"/>
  <c r="E440" i="8"/>
  <c r="E436" i="8"/>
  <c r="E432" i="8"/>
  <c r="E428" i="8"/>
  <c r="E424" i="8"/>
  <c r="E420" i="8"/>
  <c r="E416" i="8"/>
  <c r="E412" i="8"/>
  <c r="E408" i="8"/>
  <c r="E404" i="8"/>
  <c r="E400" i="8"/>
  <c r="E396" i="8"/>
  <c r="E392" i="8"/>
  <c r="E388" i="8"/>
  <c r="E384" i="8"/>
  <c r="E380" i="8"/>
  <c r="E376" i="8"/>
  <c r="E372" i="8"/>
  <c r="E368" i="8"/>
  <c r="E364" i="8"/>
  <c r="E360" i="8"/>
  <c r="E356" i="8"/>
  <c r="E352" i="8"/>
  <c r="E348" i="8"/>
  <c r="E1061" i="8"/>
  <c r="E1057" i="8"/>
  <c r="E1053" i="8"/>
  <c r="E1049" i="8"/>
  <c r="E1041" i="8"/>
  <c r="E1037" i="8"/>
  <c r="E1029" i="8"/>
  <c r="E1025" i="8"/>
  <c r="E1021" i="8"/>
  <c r="E1013" i="8"/>
  <c r="E1005" i="8"/>
  <c r="E997" i="8"/>
  <c r="E989" i="8"/>
  <c r="E981" i="8"/>
  <c r="E973" i="8"/>
  <c r="E965" i="8"/>
  <c r="E957" i="8"/>
  <c r="E949" i="8"/>
  <c r="E941" i="8"/>
  <c r="E933" i="8"/>
  <c r="E925" i="8"/>
  <c r="E917" i="8"/>
  <c r="E909" i="8"/>
  <c r="E901" i="8"/>
  <c r="E893" i="8"/>
  <c r="E885" i="8"/>
  <c r="E877" i="8"/>
  <c r="E869" i="8"/>
  <c r="E861" i="8"/>
  <c r="E853" i="8"/>
  <c r="E845" i="8"/>
  <c r="E837" i="8"/>
  <c r="E829" i="8"/>
  <c r="E821" i="8"/>
  <c r="E813" i="8"/>
  <c r="E805" i="8"/>
  <c r="E797" i="8"/>
  <c r="E789" i="8"/>
  <c r="E781" i="8"/>
  <c r="E773" i="8"/>
  <c r="E765" i="8"/>
  <c r="E757" i="8"/>
  <c r="E737" i="8"/>
  <c r="E721" i="8"/>
  <c r="E657" i="8"/>
  <c r="E649" i="8"/>
  <c r="E633" i="8"/>
  <c r="E609" i="8"/>
  <c r="E593" i="8"/>
  <c r="E674" i="8"/>
  <c r="E290" i="8"/>
  <c r="E585" i="8"/>
  <c r="E545" i="8"/>
  <c r="E529" i="8"/>
  <c r="E521" i="8"/>
  <c r="E505" i="8"/>
  <c r="E481" i="8"/>
  <c r="E465" i="8"/>
  <c r="E417" i="8"/>
  <c r="E401" i="8"/>
  <c r="E377" i="8"/>
  <c r="E353" i="8"/>
  <c r="E337" i="8"/>
  <c r="E153" i="8"/>
  <c r="E121" i="8"/>
  <c r="E1069" i="8"/>
  <c r="E1073" i="8"/>
  <c r="E713" i="8"/>
  <c r="E673" i="8"/>
  <c r="E457" i="8"/>
  <c r="E393" i="8"/>
  <c r="E329" i="8"/>
  <c r="E289" i="8"/>
  <c r="E273" i="8"/>
  <c r="E265" i="8"/>
  <c r="E249" i="8"/>
  <c r="E217" i="8"/>
  <c r="E185" i="8"/>
  <c r="E89" i="8"/>
  <c r="E1072" i="8"/>
  <c r="E1068" i="8"/>
  <c r="E1064" i="8"/>
  <c r="E1060" i="8"/>
  <c r="E1056" i="8"/>
  <c r="E1052" i="8"/>
  <c r="E1048" i="8"/>
  <c r="E1044" i="8"/>
  <c r="E1040" i="8"/>
  <c r="E1036" i="8"/>
  <c r="E1032" i="8"/>
  <c r="E1028" i="8"/>
  <c r="E1024" i="8"/>
  <c r="E1020" i="8"/>
  <c r="E1016" i="8"/>
  <c r="E1012" i="8"/>
  <c r="E1008" i="8"/>
  <c r="E1004" i="8"/>
  <c r="E1000" i="8"/>
  <c r="E996" i="8"/>
  <c r="E992" i="8"/>
  <c r="E988" i="8"/>
  <c r="E984" i="8"/>
  <c r="E980" i="8"/>
  <c r="E976" i="8"/>
  <c r="E972" i="8"/>
  <c r="E968" i="8"/>
  <c r="E964" i="8"/>
  <c r="E960" i="8"/>
  <c r="E956" i="8"/>
  <c r="E952" i="8"/>
  <c r="E948" i="8"/>
  <c r="E944" i="8"/>
  <c r="E940" i="8"/>
  <c r="E936" i="8"/>
  <c r="E932" i="8"/>
  <c r="E928" i="8"/>
  <c r="E924" i="8"/>
  <c r="E920" i="8"/>
  <c r="E916" i="8"/>
  <c r="E912" i="8"/>
  <c r="E908" i="8"/>
  <c r="E904" i="8"/>
  <c r="E900" i="8"/>
  <c r="E896" i="8"/>
  <c r="E892" i="8"/>
  <c r="E888" i="8"/>
  <c r="E884" i="8"/>
  <c r="E880" i="8"/>
  <c r="E876" i="8"/>
  <c r="E872" i="8"/>
  <c r="E868" i="8"/>
  <c r="E864" i="8"/>
  <c r="E860" i="8"/>
  <c r="E856" i="8"/>
  <c r="E852" i="8"/>
  <c r="E848" i="8"/>
  <c r="E844" i="8"/>
  <c r="E840" i="8"/>
  <c r="E1059" i="8"/>
  <c r="E1003" i="8"/>
  <c r="E851" i="8"/>
  <c r="E1067" i="8"/>
  <c r="E1075" i="8"/>
  <c r="E1055" i="8"/>
  <c r="E1043" i="8"/>
  <c r="E1031" i="8"/>
  <c r="E1019" i="8"/>
  <c r="E1011" i="8"/>
  <c r="E991" i="8"/>
  <c r="E983" i="8"/>
  <c r="E971" i="8"/>
  <c r="E959" i="8"/>
  <c r="E947" i="8"/>
  <c r="E935" i="8"/>
  <c r="E923" i="8"/>
  <c r="E911" i="8"/>
  <c r="E899" i="8"/>
  <c r="E883" i="8"/>
  <c r="E875" i="8"/>
  <c r="E863" i="8"/>
  <c r="E847" i="8"/>
  <c r="E835" i="8"/>
  <c r="E823" i="8"/>
  <c r="E811" i="8"/>
  <c r="E799" i="8"/>
  <c r="E787" i="8"/>
  <c r="E775" i="8"/>
  <c r="E763" i="8"/>
  <c r="E751" i="8"/>
  <c r="E739" i="8"/>
  <c r="E727" i="8"/>
  <c r="E715" i="8"/>
  <c r="E703" i="8"/>
  <c r="E691" i="8"/>
  <c r="E679" i="8"/>
  <c r="E667" i="8"/>
  <c r="E655" i="8"/>
  <c r="E643" i="8"/>
  <c r="E631" i="8"/>
  <c r="E619" i="8"/>
  <c r="E607" i="8"/>
  <c r="E599" i="8"/>
  <c r="E583" i="8"/>
  <c r="E571" i="8"/>
  <c r="E559" i="8"/>
  <c r="E543" i="8"/>
  <c r="E531" i="8"/>
  <c r="E515" i="8"/>
  <c r="E499" i="8"/>
  <c r="E479" i="8"/>
  <c r="E1071" i="8"/>
  <c r="E1051" i="8"/>
  <c r="E1039" i="8"/>
  <c r="E1027" i="8"/>
  <c r="E1015" i="8"/>
  <c r="E999" i="8"/>
  <c r="E987" i="8"/>
  <c r="E975" i="8"/>
  <c r="E963" i="8"/>
  <c r="E951" i="8"/>
  <c r="E939" i="8"/>
  <c r="E927" i="8"/>
  <c r="E915" i="8"/>
  <c r="E903" i="8"/>
  <c r="E891" i="8"/>
  <c r="E879" i="8"/>
  <c r="E867" i="8"/>
  <c r="E855" i="8"/>
  <c r="E839" i="8"/>
  <c r="E827" i="8"/>
  <c r="E815" i="8"/>
  <c r="E803" i="8"/>
  <c r="E791" i="8"/>
  <c r="E779" i="8"/>
  <c r="E767" i="8"/>
  <c r="E755" i="8"/>
  <c r="E743" i="8"/>
  <c r="E731" i="8"/>
  <c r="E719" i="8"/>
  <c r="E707" i="8"/>
  <c r="E695" i="8"/>
  <c r="E683" i="8"/>
  <c r="E671" i="8"/>
  <c r="E659" i="8"/>
  <c r="E647" i="8"/>
  <c r="E635" i="8"/>
  <c r="E623" i="8"/>
  <c r="E611" i="8"/>
  <c r="E595" i="8"/>
  <c r="E587" i="8"/>
  <c r="E575" i="8"/>
  <c r="E563" i="8"/>
  <c r="E551" i="8"/>
  <c r="E539" i="8"/>
  <c r="E527" i="8"/>
  <c r="E519" i="8"/>
  <c r="E507" i="8"/>
  <c r="E495" i="8"/>
  <c r="E487" i="8"/>
  <c r="E475" i="8"/>
  <c r="E467" i="8"/>
  <c r="E459" i="8"/>
  <c r="E451" i="8"/>
  <c r="E443" i="8"/>
  <c r="E435" i="8"/>
  <c r="E427" i="8"/>
  <c r="E391" i="8"/>
  <c r="E363" i="8"/>
  <c r="E343" i="8"/>
  <c r="E315" i="8"/>
  <c r="E287" i="8"/>
  <c r="E259" i="8"/>
  <c r="E203" i="8"/>
  <c r="E139" i="8"/>
  <c r="E1063" i="8"/>
  <c r="E1047" i="8"/>
  <c r="E1035" i="8"/>
  <c r="E1023" i="8"/>
  <c r="E1007" i="8"/>
  <c r="E995" i="8"/>
  <c r="E979" i="8"/>
  <c r="E967" i="8"/>
  <c r="E955" i="8"/>
  <c r="E943" i="8"/>
  <c r="E931" i="8"/>
  <c r="E919" i="8"/>
  <c r="E907" i="8"/>
  <c r="E895" i="8"/>
  <c r="E887" i="8"/>
  <c r="E871" i="8"/>
  <c r="E859" i="8"/>
  <c r="E843" i="8"/>
  <c r="E831" i="8"/>
  <c r="E819" i="8"/>
  <c r="E807" i="8"/>
  <c r="E795" i="8"/>
  <c r="E783" i="8"/>
  <c r="E771" i="8"/>
  <c r="E759" i="8"/>
  <c r="E747" i="8"/>
  <c r="E735" i="8"/>
  <c r="E723" i="8"/>
  <c r="E711" i="8"/>
  <c r="E699" i="8"/>
  <c r="E687" i="8"/>
  <c r="E675" i="8"/>
  <c r="E663" i="8"/>
  <c r="E651" i="8"/>
  <c r="E639" i="8"/>
  <c r="E627" i="8"/>
  <c r="E615" i="8"/>
  <c r="E603" i="8"/>
  <c r="E591" i="8"/>
  <c r="E579" i="8"/>
  <c r="E567" i="8"/>
  <c r="E555" i="8"/>
  <c r="E547" i="8"/>
  <c r="E535" i="8"/>
  <c r="E523" i="8"/>
  <c r="E511" i="8"/>
  <c r="E503" i="8"/>
  <c r="E491" i="8"/>
  <c r="E483" i="8"/>
  <c r="E471" i="8"/>
  <c r="E463" i="8"/>
  <c r="E455" i="8"/>
  <c r="E447" i="8"/>
  <c r="E439" i="8"/>
  <c r="E431" i="8"/>
  <c r="E415" i="8"/>
  <c r="E387" i="8"/>
  <c r="E367" i="8"/>
  <c r="E339" i="8"/>
  <c r="E263" i="8"/>
  <c r="E235" i="8"/>
  <c r="E171" i="8"/>
  <c r="E107" i="8"/>
  <c r="E836" i="8"/>
  <c r="E832" i="8"/>
  <c r="E828" i="8"/>
  <c r="E824" i="8"/>
  <c r="E820" i="8"/>
  <c r="E816" i="8"/>
  <c r="E812" i="8"/>
  <c r="E808" i="8"/>
  <c r="E804" i="8"/>
  <c r="E800" i="8"/>
  <c r="E796" i="8"/>
  <c r="E792" i="8"/>
  <c r="E788" i="8"/>
  <c r="E784" i="8"/>
  <c r="E780" i="8"/>
  <c r="E776" i="8"/>
  <c r="E772" i="8"/>
  <c r="E768" i="8"/>
  <c r="E764" i="8"/>
  <c r="E760" i="8"/>
  <c r="E756" i="8"/>
  <c r="E752" i="8"/>
  <c r="E748" i="8"/>
  <c r="E744" i="8"/>
  <c r="E740" i="8"/>
  <c r="E736" i="8"/>
  <c r="E732" i="8"/>
  <c r="E728" i="8"/>
  <c r="E724" i="8"/>
  <c r="E720" i="8"/>
  <c r="E716" i="8"/>
  <c r="E712" i="8"/>
  <c r="E708" i="8"/>
  <c r="E704" i="8"/>
  <c r="E700" i="8"/>
  <c r="E696" i="8"/>
  <c r="E692" i="8"/>
  <c r="E688" i="8"/>
  <c r="E684" i="8"/>
  <c r="E680" i="8"/>
  <c r="E676" i="8"/>
  <c r="E672" i="8"/>
  <c r="E668" i="8"/>
  <c r="E664" i="8"/>
  <c r="E660" i="8"/>
  <c r="E656" i="8"/>
  <c r="E652" i="8"/>
  <c r="E648" i="8"/>
  <c r="E644" i="8"/>
  <c r="E640" i="8"/>
  <c r="E636" i="8"/>
  <c r="E632" i="8"/>
  <c r="E628" i="8"/>
  <c r="E624" i="8"/>
  <c r="E620" i="8"/>
  <c r="E616" i="8"/>
  <c r="E612" i="8"/>
  <c r="E608" i="8"/>
  <c r="E604" i="8"/>
  <c r="E600" i="8"/>
  <c r="E596" i="8"/>
  <c r="E592" i="8"/>
  <c r="E588" i="8"/>
  <c r="E584" i="8"/>
  <c r="E580" i="8"/>
  <c r="E576" i="8"/>
  <c r="E572" i="8"/>
  <c r="E568" i="8"/>
  <c r="E564" i="8"/>
  <c r="E560" i="8"/>
  <c r="E556" i="8"/>
  <c r="E552" i="8"/>
  <c r="E548" i="8"/>
  <c r="E544" i="8"/>
  <c r="E540" i="8"/>
  <c r="E536" i="8"/>
  <c r="E532" i="8"/>
  <c r="E528" i="8"/>
  <c r="E524" i="8"/>
  <c r="E520" i="8"/>
  <c r="E516" i="8"/>
  <c r="E512" i="8"/>
  <c r="E508" i="8"/>
  <c r="E504" i="8"/>
  <c r="E500" i="8"/>
  <c r="E546" i="8"/>
  <c r="E418" i="8"/>
  <c r="E1065" i="8"/>
  <c r="E1045" i="8"/>
  <c r="E1033" i="8"/>
  <c r="E697" i="8"/>
  <c r="E569" i="8"/>
  <c r="E441" i="8"/>
  <c r="E313" i="8"/>
  <c r="E233" i="8"/>
  <c r="E201" i="8"/>
  <c r="E169" i="8"/>
  <c r="E137" i="8"/>
  <c r="E105" i="8"/>
  <c r="E88" i="8"/>
  <c r="E84" i="8"/>
  <c r="E423" i="8"/>
  <c r="E419" i="8"/>
  <c r="E411" i="8"/>
  <c r="E407" i="8"/>
  <c r="E403" i="8"/>
  <c r="E399" i="8"/>
  <c r="E395" i="8"/>
  <c r="E383" i="8"/>
  <c r="E379" i="8"/>
  <c r="E375" i="8"/>
  <c r="E371" i="8"/>
  <c r="E359" i="8"/>
  <c r="E355" i="8"/>
  <c r="E351" i="8"/>
  <c r="E347" i="8"/>
  <c r="E335" i="8"/>
  <c r="E331" i="8"/>
  <c r="E327" i="8"/>
  <c r="E323" i="8"/>
  <c r="E319" i="8"/>
  <c r="E311" i="8"/>
  <c r="E307" i="8"/>
  <c r="E303" i="8"/>
  <c r="E299" i="8"/>
  <c r="E295" i="8"/>
  <c r="E291" i="8"/>
  <c r="E283" i="8"/>
  <c r="E279" i="8"/>
  <c r="E275" i="8"/>
  <c r="E271" i="8"/>
  <c r="E267" i="8"/>
  <c r="E255" i="8"/>
  <c r="E251" i="8"/>
  <c r="E247" i="8"/>
  <c r="E243" i="8"/>
  <c r="E239" i="8"/>
  <c r="E231" i="8"/>
  <c r="E227" i="8"/>
  <c r="E223" i="8"/>
  <c r="E219" i="8"/>
  <c r="E215" i="8"/>
  <c r="E211" i="8"/>
  <c r="E207" i="8"/>
  <c r="E199" i="8"/>
  <c r="E195" i="8"/>
  <c r="E191" i="8"/>
  <c r="E187" i="8"/>
  <c r="E183" i="8"/>
  <c r="E179" i="8"/>
  <c r="E175" i="8"/>
  <c r="E167" i="8"/>
  <c r="E163" i="8"/>
  <c r="E159" i="8"/>
  <c r="E155" i="8"/>
  <c r="E151" i="8"/>
  <c r="E147" i="8"/>
  <c r="E143" i="8"/>
  <c r="E135" i="8"/>
  <c r="E131" i="8"/>
  <c r="E127" i="8"/>
  <c r="E123" i="8"/>
  <c r="E119" i="8"/>
  <c r="E115" i="8"/>
  <c r="E111" i="8"/>
  <c r="E103" i="8"/>
  <c r="E99" i="8"/>
  <c r="E95" i="8"/>
  <c r="E91" i="8"/>
  <c r="E87" i="8"/>
  <c r="E83" i="8"/>
  <c r="E79" i="8"/>
  <c r="E1066" i="8"/>
  <c r="E1054" i="8"/>
  <c r="E1042" i="8"/>
  <c r="E1030" i="8"/>
  <c r="E1018" i="8"/>
  <c r="E1006" i="8"/>
  <c r="E994" i="8"/>
  <c r="E982" i="8"/>
  <c r="E970" i="8"/>
  <c r="E958" i="8"/>
  <c r="E946" i="8"/>
  <c r="E934" i="8"/>
  <c r="E922" i="8"/>
  <c r="E910" i="8"/>
  <c r="E898" i="8"/>
  <c r="E886" i="8"/>
  <c r="E874" i="8"/>
  <c r="E862" i="8"/>
  <c r="E850" i="8"/>
  <c r="E838" i="8"/>
  <c r="E826" i="8"/>
  <c r="E814" i="8"/>
  <c r="E802" i="8"/>
  <c r="E790" i="8"/>
  <c r="E778" i="8"/>
  <c r="E766" i="8"/>
  <c r="E754" i="8"/>
  <c r="E742" i="8"/>
  <c r="E730" i="8"/>
  <c r="E718" i="8"/>
  <c r="E710" i="8"/>
  <c r="E694" i="8"/>
  <c r="E686" i="8"/>
  <c r="E670" i="8"/>
  <c r="E658" i="8"/>
  <c r="E646" i="8"/>
  <c r="E634" i="8"/>
  <c r="E622" i="8"/>
  <c r="E610" i="8"/>
  <c r="E594" i="8"/>
  <c r="E582" i="8"/>
  <c r="E570" i="8"/>
  <c r="E562" i="8"/>
  <c r="E554" i="8"/>
  <c r="E542" i="8"/>
  <c r="E534" i="8"/>
  <c r="E526" i="8"/>
  <c r="E518" i="8"/>
  <c r="E510" i="8"/>
  <c r="E502" i="8"/>
  <c r="E494" i="8"/>
  <c r="E486" i="8"/>
  <c r="E478" i="8"/>
  <c r="E470" i="8"/>
  <c r="E466" i="8"/>
  <c r="E462" i="8"/>
  <c r="E454" i="8"/>
  <c r="E450" i="8"/>
  <c r="E446" i="8"/>
  <c r="E442" i="8"/>
  <c r="E438" i="8"/>
  <c r="E434" i="8"/>
  <c r="E430" i="8"/>
  <c r="E426" i="8"/>
  <c r="E414" i="8"/>
  <c r="E410" i="8"/>
  <c r="E406" i="8"/>
  <c r="E402" i="8"/>
  <c r="E398" i="8"/>
  <c r="E394" i="8"/>
  <c r="E390" i="8"/>
  <c r="E386" i="8"/>
  <c r="E382" i="8"/>
  <c r="E378" i="8"/>
  <c r="E374" i="8"/>
  <c r="E366" i="8"/>
  <c r="E362" i="8"/>
  <c r="E354" i="8"/>
  <c r="E338" i="8"/>
  <c r="E314" i="8"/>
  <c r="E298" i="8"/>
  <c r="E274" i="8"/>
  <c r="E250" i="8"/>
  <c r="E234" i="8"/>
  <c r="E218" i="8"/>
  <c r="E202" i="8"/>
  <c r="E186" i="8"/>
  <c r="E170" i="8"/>
  <c r="E154" i="8"/>
  <c r="E138" i="8"/>
  <c r="E122" i="8"/>
  <c r="E106" i="8"/>
  <c r="E90" i="8"/>
  <c r="E1074" i="8"/>
  <c r="E1062" i="8"/>
  <c r="E1050" i="8"/>
  <c r="E1038" i="8"/>
  <c r="E1022" i="8"/>
  <c r="E1014" i="8"/>
  <c r="E1002" i="8"/>
  <c r="E990" i="8"/>
  <c r="E978" i="8"/>
  <c r="E966" i="8"/>
  <c r="E954" i="8"/>
  <c r="E942" i="8"/>
  <c r="E930" i="8"/>
  <c r="E918" i="8"/>
  <c r="E906" i="8"/>
  <c r="E894" i="8"/>
  <c r="E882" i="8"/>
  <c r="E870" i="8"/>
  <c r="E858" i="8"/>
  <c r="E846" i="8"/>
  <c r="E834" i="8"/>
  <c r="E822" i="8"/>
  <c r="E810" i="8"/>
  <c r="E798" i="8"/>
  <c r="E786" i="8"/>
  <c r="E774" i="8"/>
  <c r="E762" i="8"/>
  <c r="E750" i="8"/>
  <c r="E738" i="8"/>
  <c r="E726" i="8"/>
  <c r="E714" i="8"/>
  <c r="E702" i="8"/>
  <c r="E690" i="8"/>
  <c r="E678" i="8"/>
  <c r="E666" i="8"/>
  <c r="E650" i="8"/>
  <c r="E642" i="8"/>
  <c r="E626" i="8"/>
  <c r="E614" i="8"/>
  <c r="E602" i="8"/>
  <c r="E586" i="8"/>
  <c r="E574" i="8"/>
  <c r="E566" i="8"/>
  <c r="E550" i="8"/>
  <c r="E538" i="8"/>
  <c r="E530" i="8"/>
  <c r="E522" i="8"/>
  <c r="E514" i="8"/>
  <c r="E506" i="8"/>
  <c r="E498" i="8"/>
  <c r="E490" i="8"/>
  <c r="E482" i="8"/>
  <c r="E474" i="8"/>
  <c r="E422" i="8"/>
  <c r="E1070" i="8"/>
  <c r="E1058" i="8"/>
  <c r="E1046" i="8"/>
  <c r="E1034" i="8"/>
  <c r="E1026" i="8"/>
  <c r="E1010" i="8"/>
  <c r="E998" i="8"/>
  <c r="E986" i="8"/>
  <c r="E974" i="8"/>
  <c r="E962" i="8"/>
  <c r="E950" i="8"/>
  <c r="E938" i="8"/>
  <c r="E926" i="8"/>
  <c r="E914" i="8"/>
  <c r="E902" i="8"/>
  <c r="E890" i="8"/>
  <c r="E878" i="8"/>
  <c r="E866" i="8"/>
  <c r="E854" i="8"/>
  <c r="E842" i="8"/>
  <c r="E830" i="8"/>
  <c r="E818" i="8"/>
  <c r="E806" i="8"/>
  <c r="E794" i="8"/>
  <c r="E782" i="8"/>
  <c r="E770" i="8"/>
  <c r="E758" i="8"/>
  <c r="E746" i="8"/>
  <c r="E734" i="8"/>
  <c r="E722" i="8"/>
  <c r="E706" i="8"/>
  <c r="E698" i="8"/>
  <c r="E682" i="8"/>
  <c r="E662" i="8"/>
  <c r="E654" i="8"/>
  <c r="E638" i="8"/>
  <c r="E630" i="8"/>
  <c r="E618" i="8"/>
  <c r="E606" i="8"/>
  <c r="E598" i="8"/>
  <c r="E590" i="8"/>
  <c r="E578" i="8"/>
  <c r="E558" i="8"/>
  <c r="E458" i="8"/>
  <c r="E358" i="8"/>
  <c r="E326" i="8"/>
  <c r="E310" i="8"/>
  <c r="E294" i="8"/>
  <c r="E278" i="8"/>
  <c r="E262" i="8"/>
  <c r="E246" i="8"/>
  <c r="E214" i="8"/>
  <c r="E194" i="8"/>
  <c r="E178" i="8"/>
  <c r="E162" i="8"/>
  <c r="E142" i="8"/>
  <c r="E126" i="8"/>
  <c r="E94" i="8"/>
  <c r="E993" i="8"/>
  <c r="E881" i="8"/>
  <c r="E817" i="8"/>
  <c r="E801" i="8"/>
  <c r="E769" i="8"/>
  <c r="E753" i="8"/>
  <c r="E733" i="8"/>
  <c r="E701" i="8"/>
  <c r="E689" i="8"/>
  <c r="E669" i="8"/>
  <c r="E637" i="8"/>
  <c r="E625" i="8"/>
  <c r="E605" i="8"/>
  <c r="E573" i="8"/>
  <c r="E557" i="8"/>
  <c r="E541" i="8"/>
  <c r="E525" i="8"/>
  <c r="E509" i="8"/>
  <c r="E493" i="8"/>
  <c r="E473" i="8"/>
  <c r="E453" i="8"/>
  <c r="E437" i="8"/>
  <c r="E421" i="8"/>
  <c r="E405" i="8"/>
  <c r="E373" i="8"/>
  <c r="E357" i="8"/>
  <c r="E345" i="8"/>
  <c r="E309" i="8"/>
  <c r="E293" i="8"/>
  <c r="E281" i="8"/>
  <c r="E269" i="8"/>
  <c r="E257" i="8"/>
  <c r="E253" i="8"/>
  <c r="E241" i="8"/>
  <c r="E237" i="8"/>
  <c r="E229" i="8"/>
  <c r="E225" i="8"/>
  <c r="E221" i="8"/>
  <c r="E209" i="8"/>
  <c r="E205" i="8"/>
  <c r="E197" i="8"/>
  <c r="E193" i="8"/>
  <c r="E189" i="8"/>
  <c r="E181" i="8"/>
  <c r="E177" i="8"/>
  <c r="E173" i="8"/>
  <c r="E165" i="8"/>
  <c r="E161" i="8"/>
  <c r="E157" i="8"/>
  <c r="E149" i="8"/>
  <c r="E145" i="8"/>
  <c r="E133" i="8"/>
  <c r="E125" i="8"/>
  <c r="E117" i="8"/>
  <c r="E113" i="8"/>
  <c r="E109" i="8"/>
  <c r="E101" i="8"/>
  <c r="E97" i="8"/>
  <c r="E93" i="8"/>
  <c r="E85" i="8"/>
  <c r="E81" i="8"/>
  <c r="E77" i="8"/>
  <c r="E370" i="8"/>
  <c r="E346" i="8"/>
  <c r="E334" i="8"/>
  <c r="E318" i="8"/>
  <c r="E302" i="8"/>
  <c r="E258" i="8"/>
  <c r="E238" i="8"/>
  <c r="E222" i="8"/>
  <c r="E206" i="8"/>
  <c r="E190" i="8"/>
  <c r="E174" i="8"/>
  <c r="E158" i="8"/>
  <c r="E146" i="8"/>
  <c r="E114" i="8"/>
  <c r="E86" i="8"/>
  <c r="E78" i="8"/>
  <c r="E1009" i="8"/>
  <c r="E977" i="8"/>
  <c r="E961" i="8"/>
  <c r="E945" i="8"/>
  <c r="E929" i="8"/>
  <c r="E913" i="8"/>
  <c r="E897" i="8"/>
  <c r="E865" i="8"/>
  <c r="E849" i="8"/>
  <c r="E833" i="8"/>
  <c r="E741" i="8"/>
  <c r="E725" i="8"/>
  <c r="E709" i="8"/>
  <c r="E677" i="8"/>
  <c r="E665" i="8"/>
  <c r="E645" i="8"/>
  <c r="E629" i="8"/>
  <c r="E613" i="8"/>
  <c r="E597" i="8"/>
  <c r="E581" i="8"/>
  <c r="E565" i="8"/>
  <c r="E549" i="8"/>
  <c r="E533" i="8"/>
  <c r="E501" i="8"/>
  <c r="E485" i="8"/>
  <c r="E469" i="8"/>
  <c r="E429" i="8"/>
  <c r="E409" i="8"/>
  <c r="E389" i="8"/>
  <c r="E365" i="8"/>
  <c r="E349" i="8"/>
  <c r="E333" i="8"/>
  <c r="E317" i="8"/>
  <c r="E305" i="8"/>
  <c r="E277" i="8"/>
  <c r="E245" i="8"/>
  <c r="E141" i="8"/>
  <c r="E80" i="8"/>
  <c r="E342" i="8"/>
  <c r="E322" i="8"/>
  <c r="E306" i="8"/>
  <c r="E282" i="8"/>
  <c r="E266" i="8"/>
  <c r="E230" i="8"/>
  <c r="E210" i="8"/>
  <c r="E198" i="8"/>
  <c r="E150" i="8"/>
  <c r="E134" i="8"/>
  <c r="E118" i="8"/>
  <c r="E110" i="8"/>
  <c r="E102" i="8"/>
  <c r="E82" i="8"/>
  <c r="E969" i="8"/>
  <c r="E937" i="8"/>
  <c r="E905" i="8"/>
  <c r="E873" i="8"/>
  <c r="E825" i="8"/>
  <c r="E793" i="8"/>
  <c r="E785" i="8"/>
  <c r="E761" i="8"/>
  <c r="E749" i="8"/>
  <c r="E729" i="8"/>
  <c r="E693" i="8"/>
  <c r="E681" i="8"/>
  <c r="E661" i="8"/>
  <c r="E617" i="8"/>
  <c r="E601" i="8"/>
  <c r="E553" i="8"/>
  <c r="E537" i="8"/>
  <c r="E517" i="8"/>
  <c r="E489" i="8"/>
  <c r="E445" i="8"/>
  <c r="E425" i="8"/>
  <c r="E397" i="8"/>
  <c r="E381" i="8"/>
  <c r="E361" i="8"/>
  <c r="E341" i="8"/>
  <c r="E325" i="8"/>
  <c r="E297" i="8"/>
  <c r="E285" i="8"/>
  <c r="E261" i="8"/>
  <c r="E129" i="8"/>
  <c r="E76" i="8"/>
  <c r="E350" i="8"/>
  <c r="E330" i="8"/>
  <c r="E286" i="8"/>
  <c r="E270" i="8"/>
  <c r="E254" i="8"/>
  <c r="E242" i="8"/>
  <c r="E226" i="8"/>
  <c r="E182" i="8"/>
  <c r="E166" i="8"/>
  <c r="E130" i="8"/>
  <c r="E98" i="8"/>
  <c r="E1017" i="8"/>
  <c r="E1001" i="8"/>
  <c r="E985" i="8"/>
  <c r="E953" i="8"/>
  <c r="E921" i="8"/>
  <c r="E889" i="8"/>
  <c r="E857" i="8"/>
  <c r="E841" i="8"/>
  <c r="E809" i="8"/>
  <c r="E777" i="8"/>
  <c r="E745" i="8"/>
  <c r="E717" i="8"/>
  <c r="E705" i="8"/>
  <c r="E685" i="8"/>
  <c r="E653" i="8"/>
  <c r="E641" i="8"/>
  <c r="E621" i="8"/>
  <c r="E589" i="8"/>
  <c r="E577" i="8"/>
  <c r="E561" i="8"/>
  <c r="E513" i="8"/>
  <c r="E497" i="8"/>
  <c r="E477" i="8"/>
  <c r="E461" i="8"/>
  <c r="E449" i="8"/>
  <c r="E433" i="8"/>
  <c r="E413" i="8"/>
  <c r="E385" i="8"/>
  <c r="E369" i="8"/>
  <c r="E321" i="8"/>
  <c r="E301" i="8"/>
  <c r="E213" i="8"/>
  <c r="F59" i="8"/>
  <c r="F60" i="8"/>
  <c r="F61" i="8"/>
  <c r="E58" i="8"/>
  <c r="C59" i="8"/>
  <c r="C61" i="8"/>
  <c r="D28" i="8"/>
  <c r="F27" i="8"/>
  <c r="D57" i="8"/>
  <c r="D58" i="8" s="1"/>
  <c r="E57" i="8"/>
  <c r="E28" i="8"/>
  <c r="F44" i="8"/>
  <c r="F46" i="8"/>
  <c r="F45" i="8"/>
  <c r="D45" i="8"/>
  <c r="D46" i="8"/>
  <c r="E46" i="8"/>
  <c r="C45" i="8"/>
  <c r="E129" i="4"/>
  <c r="C138" i="4"/>
  <c r="H131" i="4"/>
  <c r="G129" i="4"/>
  <c r="F129" i="4"/>
  <c r="D105" i="2"/>
  <c r="E69" i="3"/>
  <c r="D57" i="3"/>
  <c r="E104" i="2"/>
  <c r="E106" i="2" s="1"/>
  <c r="F104" i="2"/>
  <c r="F106" i="2" s="1"/>
  <c r="F105" i="2"/>
  <c r="E105" i="2"/>
  <c r="H74" i="8" l="1"/>
  <c r="H75" i="8"/>
  <c r="H72" i="8"/>
  <c r="H73" i="8"/>
  <c r="H70" i="8"/>
  <c r="H71" i="8"/>
  <c r="F28" i="8"/>
  <c r="F30" i="8"/>
  <c r="D29" i="8"/>
  <c r="D31" i="8"/>
  <c r="E60" i="8"/>
  <c r="E61" i="8"/>
  <c r="E59" i="8"/>
  <c r="E31" i="8"/>
  <c r="E29" i="8"/>
  <c r="D60" i="8"/>
  <c r="D59" i="8"/>
  <c r="D61" i="8"/>
  <c r="I131" i="4"/>
  <c r="I129" i="4" s="1"/>
  <c r="H129" i="4"/>
  <c r="E8" i="4"/>
  <c r="E28" i="4" s="1"/>
  <c r="F31" i="8" l="1"/>
  <c r="F29" i="8"/>
  <c r="E80" i="4"/>
  <c r="E105" i="4" s="1"/>
  <c r="E9" i="4"/>
  <c r="G8" i="4"/>
  <c r="G28" i="4" s="1"/>
  <c r="G80" i="4" s="1"/>
  <c r="F8" i="4"/>
  <c r="H8" i="4"/>
  <c r="I8" i="4"/>
  <c r="E76" i="4"/>
  <c r="E102" i="4" s="1"/>
  <c r="E77" i="4"/>
  <c r="E103" i="4" s="1"/>
  <c r="E75" i="4"/>
  <c r="E101" i="4" s="1"/>
  <c r="E32" i="4"/>
  <c r="E29" i="4"/>
  <c r="E30" i="4" s="1"/>
  <c r="E78" i="4"/>
  <c r="E104" i="4" s="1"/>
  <c r="E33" i="4"/>
  <c r="G77" i="4" l="1"/>
  <c r="G103" i="4" s="1"/>
  <c r="G105" i="4"/>
  <c r="G75" i="4"/>
  <c r="G101" i="4" s="1"/>
  <c r="G78" i="4"/>
  <c r="G104" i="4" s="1"/>
  <c r="G9" i="4"/>
  <c r="G76" i="4"/>
  <c r="G102" i="4" s="1"/>
  <c r="G29" i="4"/>
  <c r="G30" i="4" s="1"/>
  <c r="G32" i="4"/>
  <c r="G33" i="4"/>
  <c r="F28" i="4"/>
  <c r="F80" i="4" s="1"/>
  <c r="F9" i="4"/>
  <c r="E35" i="4"/>
  <c r="E31" i="4"/>
  <c r="I9" i="4"/>
  <c r="I28" i="4"/>
  <c r="I80" i="4" s="1"/>
  <c r="H9" i="4"/>
  <c r="H28" i="4"/>
  <c r="H80" i="4" s="1"/>
  <c r="E36" i="4" l="1"/>
  <c r="E97" i="4" s="1"/>
  <c r="G35" i="4"/>
  <c r="G36" i="4" s="1"/>
  <c r="G31" i="4"/>
  <c r="F78" i="4"/>
  <c r="F104" i="4" s="1"/>
  <c r="F105" i="4"/>
  <c r="F33" i="4"/>
  <c r="F32" i="4"/>
  <c r="F75" i="4"/>
  <c r="F101" i="4" s="1"/>
  <c r="F29" i="4"/>
  <c r="F30" i="4" s="1"/>
  <c r="F76" i="4"/>
  <c r="F102" i="4" s="1"/>
  <c r="F77" i="4"/>
  <c r="F103" i="4" s="1"/>
  <c r="I76" i="4"/>
  <c r="I102" i="4" s="1"/>
  <c r="I77" i="4"/>
  <c r="I103" i="4" s="1"/>
  <c r="I29" i="4"/>
  <c r="I30" i="4" s="1"/>
  <c r="I78" i="4"/>
  <c r="I104" i="4" s="1"/>
  <c r="I105" i="4"/>
  <c r="I33" i="4"/>
  <c r="I32" i="4"/>
  <c r="I75" i="4"/>
  <c r="I101" i="4" s="1"/>
  <c r="H76" i="4"/>
  <c r="H102" i="4" s="1"/>
  <c r="H32" i="4"/>
  <c r="H78" i="4"/>
  <c r="H104" i="4" s="1"/>
  <c r="H105" i="4"/>
  <c r="H29" i="4"/>
  <c r="H30" i="4" s="1"/>
  <c r="H33" i="4"/>
  <c r="H75" i="4"/>
  <c r="H101" i="4" s="1"/>
  <c r="H77" i="4"/>
  <c r="H103" i="4" s="1"/>
  <c r="E37" i="4"/>
  <c r="E52" i="4"/>
  <c r="E56" i="4" s="1"/>
  <c r="I35" i="4" l="1"/>
  <c r="I36" i="4" s="1"/>
  <c r="G37" i="4"/>
  <c r="G52" i="4"/>
  <c r="G56" i="4" s="1"/>
  <c r="G57" i="4" s="1"/>
  <c r="G58" i="4" s="1"/>
  <c r="G97" i="4"/>
  <c r="G99" i="4" s="1"/>
  <c r="G100" i="4" s="1"/>
  <c r="G106" i="4" s="1"/>
  <c r="G128" i="4" s="1"/>
  <c r="G130" i="4" s="1"/>
  <c r="F35" i="4"/>
  <c r="F36" i="4" s="1"/>
  <c r="F31" i="4"/>
  <c r="H31" i="4"/>
  <c r="I31" i="4"/>
  <c r="E57" i="4"/>
  <c r="E58" i="4" s="1"/>
  <c r="E99" i="4"/>
  <c r="E100" i="4" s="1"/>
  <c r="E106" i="4" s="1"/>
  <c r="H35" i="4"/>
  <c r="H36" i="4" s="1"/>
  <c r="F52" i="4" l="1"/>
  <c r="F56" i="4" s="1"/>
  <c r="F57" i="4" s="1"/>
  <c r="F58" i="4" s="1"/>
  <c r="F37" i="4"/>
  <c r="F97" i="4"/>
  <c r="E74" i="4"/>
  <c r="E79" i="4" s="1"/>
  <c r="E81" i="4" s="1"/>
  <c r="E82" i="4" s="1"/>
  <c r="E59" i="4"/>
  <c r="F59" i="4"/>
  <c r="F74" i="4"/>
  <c r="F79" i="4" s="1"/>
  <c r="F81" i="4" s="1"/>
  <c r="F82" i="4" s="1"/>
  <c r="G74" i="4"/>
  <c r="G79" i="4" s="1"/>
  <c r="G81" i="4" s="1"/>
  <c r="G82" i="4" s="1"/>
  <c r="G59" i="4"/>
  <c r="H52" i="4"/>
  <c r="H56" i="4" s="1"/>
  <c r="H37" i="4"/>
  <c r="H97" i="4"/>
  <c r="E128" i="4"/>
  <c r="E130" i="4" s="1"/>
  <c r="I97" i="4"/>
  <c r="I37" i="4"/>
  <c r="I52" i="4"/>
  <c r="I56" i="4" s="1"/>
  <c r="F99" i="4" l="1"/>
  <c r="F100" i="4" s="1"/>
  <c r="F106" i="4" s="1"/>
  <c r="F128" i="4" s="1"/>
  <c r="F130" i="4" s="1"/>
  <c r="H57" i="4"/>
  <c r="H58" i="4" s="1"/>
  <c r="I99" i="4"/>
  <c r="I100" i="4" s="1"/>
  <c r="I106" i="4" s="1"/>
  <c r="I57" i="4"/>
  <c r="I58" i="4" s="1"/>
  <c r="H99" i="4"/>
  <c r="H100" i="4" s="1"/>
  <c r="H106" i="4" s="1"/>
  <c r="I59" i="4" l="1"/>
  <c r="I74" i="4"/>
  <c r="I79" i="4" s="1"/>
  <c r="I81" i="4" s="1"/>
  <c r="I82" i="4" s="1"/>
  <c r="H74" i="4"/>
  <c r="H79" i="4" s="1"/>
  <c r="H81" i="4" s="1"/>
  <c r="H82" i="4" s="1"/>
  <c r="H59" i="4"/>
  <c r="H128" i="4"/>
  <c r="H130" i="4" s="1"/>
  <c r="G173" i="4" a="1"/>
  <c r="G173" i="4" s="1"/>
  <c r="D173" i="4" a="1"/>
  <c r="D173" i="4" s="1"/>
  <c r="D172" i="4" a="1"/>
  <c r="D172" i="4" s="1"/>
  <c r="F171" i="4" a="1"/>
  <c r="F171" i="4" s="1"/>
  <c r="F170" i="4" a="1"/>
  <c r="F170" i="4" s="1"/>
  <c r="E171" i="4" a="1"/>
  <c r="E171" i="4" s="1"/>
  <c r="C171" i="4" a="1"/>
  <c r="C171" i="4" s="1"/>
  <c r="F169" i="4" a="1"/>
  <c r="F169" i="4" s="1"/>
  <c r="G170" i="4" a="1"/>
  <c r="G170" i="4" s="1"/>
  <c r="E173" i="4" a="1"/>
  <c r="E173" i="4" s="1"/>
  <c r="E172" i="4" a="1"/>
  <c r="E172" i="4" s="1"/>
  <c r="E169" i="4" a="1"/>
  <c r="E169" i="4" s="1"/>
  <c r="F173" i="4" a="1"/>
  <c r="F173" i="4" s="1"/>
  <c r="G171" i="4" a="1"/>
  <c r="G171" i="4" s="1"/>
  <c r="D169" i="4" a="1"/>
  <c r="D169" i="4" s="1"/>
  <c r="E170" i="4" a="1"/>
  <c r="E170" i="4" s="1"/>
  <c r="F172" i="4" a="1"/>
  <c r="F172" i="4" s="1"/>
  <c r="G169" i="4" a="1"/>
  <c r="G169" i="4" s="1"/>
  <c r="D170" i="4" a="1"/>
  <c r="D170" i="4" s="1"/>
  <c r="G172" i="4" a="1"/>
  <c r="G172" i="4" s="1"/>
  <c r="D171" i="4" a="1"/>
  <c r="D171" i="4" s="1"/>
  <c r="C169" i="4" a="1"/>
  <c r="C169" i="4" s="1"/>
  <c r="C172" i="4" a="1"/>
  <c r="C172" i="4" s="1"/>
  <c r="C170" i="4" a="1"/>
  <c r="C170" i="4" s="1"/>
  <c r="C173" i="4" a="1"/>
  <c r="C173" i="4" s="1"/>
  <c r="C136" i="4"/>
  <c r="C139" i="4" s="1"/>
  <c r="C140" i="4" s="1"/>
  <c r="C146" i="4" s="1"/>
  <c r="I128" i="4"/>
  <c r="I130" i="4" s="1"/>
  <c r="C145" i="4" l="1"/>
  <c r="C147" i="4" s="1"/>
  <c r="C152" i="4" s="1"/>
  <c r="C157" i="4" s="1"/>
  <c r="C159" i="4" s="1"/>
  <c r="C162" i="4" l="1"/>
  <c r="C16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<sst xmlns="http://schemas.openxmlformats.org/spreadsheetml/2006/main" count="435" uniqueCount="322">
  <si>
    <t>Musk Business Ecosystem: Financial, Strategic &amp; Risk Analysis</t>
  </si>
  <si>
    <t>Project objective</t>
  </si>
  <si>
    <t>Conduct an independent, evidence-based assessment of Elon Musk's business ecosystem, evaluating financial performance, growth strategies, capital requirements, corporate relationships, and material risks.</t>
  </si>
  <si>
    <t>Research scope</t>
  </si>
  <si>
    <t>Tesla</t>
  </si>
  <si>
    <t>SpaceX and Starlink</t>
  </si>
  <si>
    <t>xAI and X</t>
  </si>
  <si>
    <t>Neuralink</t>
  </si>
  <si>
    <t>The Boring Company</t>
  </si>
  <si>
    <t>Core deliverables</t>
  </si>
  <si>
    <t>Individual company financial and strategic assessments.</t>
  </si>
  <si>
    <t>Historical financial analysis and forward-looking scenarios where data permits.</t>
  </si>
  <si>
    <t>Company-specific and cross-company risk assessments.</t>
  </si>
  <si>
    <t>An analysis of strategic relationships and capital allocation.</t>
  </si>
  <si>
    <t>An interactive financial and risk dashboard.</t>
  </si>
  <si>
    <t>A published research blog series.</t>
  </si>
  <si>
    <t>A final executive report with findings, limitations, and recommendations.</t>
  </si>
  <si>
    <t>Company Analysis | Fiscal Years 2023–2025</t>
  </si>
  <si>
    <t xml:space="preserve">Total revenue </t>
  </si>
  <si>
    <t xml:space="preserve">Automotive revenue </t>
  </si>
  <si>
    <t xml:space="preserve">energy generation and storage revenue </t>
  </si>
  <si>
    <t>operating income</t>
  </si>
  <si>
    <t xml:space="preserve">net income </t>
  </si>
  <si>
    <t xml:space="preserve">operating cashflow </t>
  </si>
  <si>
    <t>capital expenditures</t>
  </si>
  <si>
    <t xml:space="preserve">Note: USD millions $ </t>
  </si>
  <si>
    <t xml:space="preserve">Revenue growth (YoY) </t>
  </si>
  <si>
    <t>operating margin</t>
  </si>
  <si>
    <t>Tesla's total revenue declined 2.9% in 2025, from $97.69 billion to $94.83 billion. Automotive revenue fell 9.8%, while energy generation and storage revenue increased 26.6%. Tesla attributed the automotive sales decline primarily to approximately 8% fewer cash deliveries and a lower average selling price per vehicle, driven by sales mix and customer incentives. Energy growth was primarily supported by increased Megapack and Powerwall deployments.
Profitability weakened considerably. Operating income fell 38.5%, from $7.08 billion to $4.36 billion, and the operating margin declined from 7.2% to 4.6%. Tesla's research and development expenses increased from $4.54 billion to $6.41 billion, contributing to higher operating expenses. Meanwhile, operating cash flow declined only 1.2%, to $14.75 billion, and capital expenditures decreased 24.8%, to $8.53 billion.
Overall, the results show a shift in Tesla's growth mix toward energy storage, alongside pressure on automotive revenue and overall operating profitability. The next stage should examine segment gross margins, operating expense growth, and the company's planned investments to determine whether these trends are sustainable.</t>
  </si>
  <si>
    <t xml:space="preserve">source: </t>
  </si>
  <si>
    <t>TESLA, INC. Historical fiancial performance</t>
  </si>
  <si>
    <t>-</t>
  </si>
  <si>
    <t xml:space="preserve">Revenue Mix Analysis (USD Millions) </t>
  </si>
  <si>
    <t>automotive revenue</t>
  </si>
  <si>
    <t>energy generation and storage</t>
  </si>
  <si>
    <t xml:space="preserve">services and other </t>
  </si>
  <si>
    <t xml:space="preserve">total revenue </t>
  </si>
  <si>
    <t xml:space="preserve">automotive % of total </t>
  </si>
  <si>
    <t xml:space="preserve">energy % of  total </t>
  </si>
  <si>
    <t xml:space="preserve">services % of total </t>
  </si>
  <si>
    <r>
      <rPr>
        <b/>
        <sz val="12"/>
        <color theme="1"/>
        <rFont val="Aptos Narrow"/>
        <scheme val="minor"/>
      </rPr>
      <t>Revenue Mix Analysis: Key Findings</t>
    </r>
    <r>
      <rPr>
        <sz val="12"/>
        <color theme="1"/>
        <rFont val="Aptos Narrow"/>
        <family val="2"/>
        <scheme val="minor"/>
      </rPr>
      <t xml:space="preserve">
Tesla's revenue mix changed significantly between 2023 and 2025. Automotive revenue declined from $82.42 billion in 2023 to $69.53 billion in 2025, reducing its share of total revenue from approximately 85% to 73%. This indicates that Tesla's overall revenue has become less concentrated in automotive sales, although automotive remains its largest source of revenue.
In contrast, energy generation and storage revenue more than doubled, increasing from $6.04 billion in 2023 to $12.77 billion in 2025. Its share of total revenue rose from approximately 6% to 13%. Services and other revenue also increased, from $8.32 billion to $12.53 billion, growing from approximately 9% to 13% of total revenue.
Despite growth in energy and services, these increases did not fully offset the decline in automotive revenue. Total revenue decreased from $96.77 billion in 2023 to $94.83 billion in 2025. This suggests Tesla's expanding energy business is becoming increasingly important, but the company remains exposed to changes in automotive demand, pricing, and competition.
The next step is to compare year-over-year growth across these revenue categories to determine how quickly each business is changing and whether growth in energy and services can continue to offset automotive weakness.</t>
    </r>
  </si>
  <si>
    <t>Year over year Revenue growth</t>
  </si>
  <si>
    <t xml:space="preserve">Revenue category </t>
  </si>
  <si>
    <t xml:space="preserve">2025 vs. 2024 </t>
  </si>
  <si>
    <t xml:space="preserve">2024 vs 2023 </t>
  </si>
  <si>
    <t xml:space="preserve">automotive revenue </t>
  </si>
  <si>
    <t xml:space="preserve">energy generation and storage </t>
  </si>
  <si>
    <r>
      <rPr>
        <b/>
        <sz val="12"/>
        <color theme="1"/>
        <rFont val="Aptos Narrow"/>
        <scheme val="minor"/>
      </rPr>
      <t xml:space="preserve"> Year-over-Year Revenue Growth: Key Findings</t>
    </r>
    <r>
      <rPr>
        <sz val="12"/>
        <color theme="1"/>
        <rFont val="Aptos Narrow"/>
        <scheme val="minor"/>
      </rPr>
      <t xml:space="preserve">
Tesla's revenue trends show a growing difference between its automotive business and its other revenue categories. Automotive revenue declined by approximately 9.8% in 2025, following a 6.5% decline in 2024. This marks two consecutive years of declining automotive revenue and highlights the company's exposure to vehicle demand, pricing, and competition.
In contrast, energy generation and storage revenue increased by 26.6% in 2025, following growth of approximately 67.1% in 2024. Although the growth rate slowed, the segment continued expanding rapidly. Services and other revenue also grew, increasing by 18.9% in 2025 after rising 26.6% in 2024.
Despite growth in energy and services, total revenue declined by 2.9% in 2025 after increasing by approximately 0.9% in 2024. This indicates that growth outside automotive has not yet fully offset the decline in automotive revenue. From a financial risk perspective, Tesla's expanding energy business provides greater revenue diversification, but continued weakness in automotive remains a significant concern.
These trends warrant further investigation into segment profitability, operating expenses, and cash generation to determine whether growth in newer business areas can support Tesla's overall financial performance.</t>
    </r>
  </si>
  <si>
    <t xml:space="preserve">Profitability analysis </t>
  </si>
  <si>
    <t>gross profit</t>
  </si>
  <si>
    <t xml:space="preserve">Gross margin </t>
  </si>
  <si>
    <t xml:space="preserve">operating income </t>
  </si>
  <si>
    <t xml:space="preserve">operating margin </t>
  </si>
  <si>
    <t xml:space="preserve">netprofit margin </t>
  </si>
  <si>
    <r>
      <rPr>
        <b/>
        <sz val="12"/>
        <color theme="1"/>
        <rFont val="Aptos Narrow"/>
        <scheme val="minor"/>
      </rPr>
      <t>Profitability Analysis:</t>
    </r>
    <r>
      <rPr>
        <sz val="12"/>
        <color theme="1"/>
        <rFont val="Aptos Narrow"/>
        <scheme val="minor"/>
      </rPr>
      <t xml:space="preserve">
Tesla's profitability weakened significantly between 2023 and 2025. Gross profit remained relatively stable, declining from $17.66 billion in 2023 to $17.09 billion in 2025. However, gross margin stayed around 18% across all three years, suggesting that Tesla maintained a relatively consistent relationship between revenue and the direct costs of producing its products.
Operating income declined from $8.89 billion in 2023 to $4.36 billion in 2025. As a result, operating margin fell from approximately 9% to 5%, indicating that Tesla generated less operating profit from each dollar of revenue. Net income also dropped sharply, from $14.97 billion in 2023 to $3.86 billion in 2025, reducing net profit margin from approximately 15% to 4%.
The decline in operating and net income, despite relatively stable gross profit, suggests that costs below the gross profit line and changes in non-operating income and expenses played an important role in Tesla's reduced profitability. This raises concerns about the company's ability to maintain earnings as automotive revenue declines.
The next step is to examine Tesla's operating expenses and cash flow to better understand what is driving the decline in profitability.</t>
    </r>
  </si>
  <si>
    <t xml:space="preserve">CF &amp; Capital investment analysis </t>
  </si>
  <si>
    <t xml:space="preserve">operating CF </t>
  </si>
  <si>
    <t xml:space="preserve">free cash flow </t>
  </si>
  <si>
    <t xml:space="preserve">operating cash flow margin </t>
  </si>
  <si>
    <t>free cash flow margin</t>
  </si>
  <si>
    <t xml:space="preserve">capital expenditures / revenue </t>
  </si>
  <si>
    <r>
      <rPr>
        <b/>
        <sz val="12"/>
        <color theme="1"/>
        <rFont val="Aptos Narrow"/>
        <scheme val="minor"/>
      </rPr>
      <t>Cash Flow and Capital Investment Analysis:</t>
    </r>
    <r>
      <rPr>
        <sz val="12"/>
        <color theme="1"/>
        <rFont val="Aptos Narrow"/>
        <scheme val="minor"/>
      </rPr>
      <t xml:space="preserve"> 
Tesla continued generating strong operating cash flow between 2023 and 2025, although it declined slightly from $14.92 billion in 2024 to $14.75 billion in 2025. This shows that the company continued generating substantial cash from its operations despite weaker profitability.
Capital expenditures decreased from $11.34 billion in 2024 to $8.53 billion in 2025. As a result, free cash flow increased from $3.58 billion to $6.22 billion, meaning Tesla retained more cash after capital investments. However, this improvement was driven largely by lower capital spending rather than an increase in operating cash flow.
Free cash flow was also higher in 2025 than in 2023, when it stood at $4.36 billion. This indicates that Tesla's cash generation after capital expenditures improved over the three-year period, even as net income declined substantially.
From a financial risk perspective, Tesla's positive free cash flow provides flexibility to fund future projects and manage financial obligations. However, lower capital expenditures do not necessarily indicate improved operational performance, especially as Tesla continues investing in manufacturing, AI infrastructure, and other growth initiatives. The key question is whether the company can sustain strong cash generation while increasing investment in future growth.</t>
    </r>
  </si>
  <si>
    <t xml:space="preserve">BS and Financial  strenght </t>
  </si>
  <si>
    <t xml:space="preserve">cash </t>
  </si>
  <si>
    <t xml:space="preserve">short term investment </t>
  </si>
  <si>
    <t>total current assets</t>
  </si>
  <si>
    <t xml:space="preserve">total current liabilities </t>
  </si>
  <si>
    <t>total assets</t>
  </si>
  <si>
    <t xml:space="preserve">total liabilitlies </t>
  </si>
  <si>
    <t xml:space="preserve">total stock holder equity </t>
  </si>
  <si>
    <t xml:space="preserve">total debt and finance lease </t>
  </si>
  <si>
    <t xml:space="preserve">current ratio </t>
  </si>
  <si>
    <t xml:space="preserve">debt to equity ratio </t>
  </si>
  <si>
    <t xml:space="preserve">liabilities to asset ratios </t>
  </si>
  <si>
    <r>
      <rPr>
        <b/>
        <sz val="12"/>
        <color theme="1"/>
        <rFont val="Aptos Narrow"/>
        <scheme val="minor"/>
      </rPr>
      <t xml:space="preserve">Balance Sheet and Financial Strength: </t>
    </r>
    <r>
      <rPr>
        <sz val="12"/>
        <color theme="1"/>
        <rFont val="Aptos Narrow"/>
        <scheme val="minor"/>
      </rPr>
      <t xml:space="preserve">
Tesla's short-term liquidity improved between 2024 and 2025. Its current ratio increased from 2.02x to 2.16x, meaning the company had approximately $2.16 in current assets for every $1 of current liabilities in 2025. Cash and short-term investments also increased from approximately $36.56 billion to $44.06 billion, giving Tesla a larger pool of liquid resources.
Tesla's debt-to-equity ratio decreased from approximately 11% to 10%, while total liabilities remained around 40% of total assets. These figures suggest that Tesla's overall balance sheet structure remained relatively stable, with reported debt and finance leases representing a relatively small share of stockholders' equity.
From a financial risk perspective, Tesla's growing liquidity and relatively low debt-to-equity ratio provide a degree of financial flexibility. However, liquidity ratios alone do not establish that all assets can be converted into cash immediately, and total liabilities include more than debt. Further analysis should consider the composition of liabilities, future investment needs, and the sustainability of operating cash flow.
Overall, Tesla's balance sheet appears stronger on short-term liquidity in 2025 than in 2024. The next step is to combine these findings with revenue, profitability, and cash flow trends to form an overall assessment of Tesla's historical financial performance.</t>
    </r>
  </si>
  <si>
    <r>
      <rPr>
        <b/>
        <sz val="12"/>
        <color theme="1"/>
        <rFont val="Aptos Narrow"/>
        <scheme val="minor"/>
      </rPr>
      <t xml:space="preserve"> Tesla Historical Performance: Overall Conclusion</t>
    </r>
    <r>
      <rPr>
        <sz val="12"/>
        <color theme="1"/>
        <rFont val="Aptos Narrow"/>
        <scheme val="minor"/>
      </rPr>
      <t xml:space="preserve">
Tesla's financial performance weakened in several important areas between 2023 and 2025. Total revenue declined from $96.77 billion in 2023 to $94.83 billion in 2025, primarily reflecting declining automotive revenue. Automotive revenue fell for two consecutive years, while energy generation and storage and services revenue continued to grow. This indicates that Tesla's revenue mix is becoming more diversified, although the automotive business remains its largest source of revenue.
Profitability also deteriorated. Operating income declined from $8.89 billion in 2023 to $4.36 billion in 2025, while net income fell from $14.97 billion to $3.86 billion. Despite relatively stable gross margins, Tesla generated substantially less operating and net income, highlighting the need to investigate operating expenses and non-operating items further.
Cash flow provides a more positive picture. Tesla generated $14.75 billion in operating cash flow and $6.22 billion in free cash flow in 2025. Free cash flow improved compared with both 2024 and 2023, largely because capital expenditures decreased. However, future investment requirements could affect whether this improvement is sustainable.
Tesla's balance sheet also showed positive signs. Its current ratio increased to 2.16x in 2025, and its debt-to-equity ratio declined to approximately 10%. These figures suggest the company maintained a solid short-term liquidity position and relatively low debt compared with equity, although its full financial risk profile also depends on other liabilities and future cash needs.
Overall, Tesla's main financial strengths are its ability to generate operating cash flow, its substantial liquid resources, and the growth of its energy business. Its main concerns are declining automotive revenue, weakening profitability, and uncertainty over whether lower capital spending can continue supporting free cash flow. These findings establish a historical baseline for the next phase of analysis, where we can investigate the drivers of performance and develop assumptions for future financial projections and valuation.</t>
    </r>
  </si>
  <si>
    <t xml:space="preserve">depreciation, amorization and impairment  </t>
  </si>
  <si>
    <t xml:space="preserve">EBITDA PROXY </t>
  </si>
  <si>
    <t xml:space="preserve">EBOTDA PROXY Margin </t>
  </si>
  <si>
    <t xml:space="preserve">EBITDA proxy </t>
  </si>
  <si>
    <r>
      <rPr>
        <b/>
        <sz val="12"/>
        <color theme="1"/>
        <rFont val="Aptos Narrow"/>
        <scheme val="minor"/>
      </rPr>
      <t>EBITDA Proxy Analysis:</t>
    </r>
    <r>
      <rPr>
        <sz val="12"/>
        <color theme="1"/>
        <rFont val="Aptos Narrow"/>
        <family val="2"/>
        <scheme val="minor"/>
      </rPr>
      <t xml:space="preserve">
Tesla's EBITDA proxy declined from approximately $13.56 billion in 2023 to $10.50 billion in 2025. Its EBITDA proxy margin also decreased from approximately 14.0% to 11.1%, indicating that the company generated less operating earnings, before depreciation and amortization adjustments, for each dollar of revenue.
This decline is consistent with the weaker operating performance identified in (tesla HFP sheet). Tesla's operating income fell from $8.89 billion in 2023 to $4.36 billion in 2025, while total revenue also declined. This suggests that the reduction in earnings was not caused by lower revenue alone; Tesla's ability to convert revenue into operating profit also weakened.
From a financial analysis perspective, the declining EBITDA proxy margin raises questions about automotive pricing, production costs, operating expenses, and Tesla's ability to maintain profitability as its business mix changes. Growth in energy generation and storage may help offset weakness in automotive, but further analysis is needed to determine how these businesses contribute to earnings.
Overall, the EBITDA proxy provides another indication that Tesla's operating performance weakened between 2023 and 2025. The next step is to examine operating expenses and other factors that contributed to this decline before using historical performance to build financial forecasts.</t>
    </r>
  </si>
  <si>
    <t xml:space="preserve">Operating expense analysis  </t>
  </si>
  <si>
    <t>R&amp;D</t>
  </si>
  <si>
    <t>SG&amp;A</t>
  </si>
  <si>
    <t xml:space="preserve">restructuring and other </t>
  </si>
  <si>
    <t xml:space="preserve">total operating expenses </t>
  </si>
  <si>
    <t xml:space="preserve">R&amp;D / revenue </t>
  </si>
  <si>
    <t xml:space="preserve">SG&amp;A / revenue </t>
  </si>
  <si>
    <t xml:space="preserve">total operating expenses / revenue </t>
  </si>
  <si>
    <r>
      <rPr>
        <b/>
        <sz val="12"/>
        <color theme="1"/>
        <rFont val="Aptos Narrow"/>
        <scheme val="minor"/>
      </rPr>
      <t xml:space="preserve"> Operating Expense Analysis: Key Findings</t>
    </r>
    <r>
      <rPr>
        <sz val="12"/>
        <color theme="1"/>
        <rFont val="Aptos Narrow"/>
        <scheme val="minor"/>
      </rPr>
      <t xml:space="preserve">
</t>
    </r>
    <r>
      <rPr>
        <sz val="11"/>
        <color theme="1"/>
        <rFont val="Aptos Narrow (Body)"/>
      </rPr>
      <t xml:space="preserve">
Tesla's total operating expenses increased from $8.77 billion in 2023 to $12.74 billion in 2025. Operating expenses also rose from 9.1% of revenue in 2023 to 13.4% in 2025, meaning a larger share of Tesla's revenue was used to cover research, administration, and restructuring costs.
Research and development was the largest driver of this increase. R&amp;D expenses rose from $3.97 billion in 2023 to $6.41 billion in 2025, increasing by approximately 61%. Tesla reported that the 2025 increase was primarily related to AI and other programs, along with higher stock-based compensation. This spending may support future growth, but it also puts pressure on current profitability.
Selling, general and administrative expenses increased from $4.80 billion to $5.83 billion over the same period. Tesla also recorded $684 million in restructuring expenses in 2024 and $494 million in 2025. These additional costs contributed to the overall operating expense burden.
From a financial risk perspective, rising operating expenses combined with declining revenue create pressure on operating margins. Tesla's investment in AI and other technologies could generate future returns, but the financial benefit will depend on whether these investments produce enough additional revenue and profit to justify their cost.
Overall, operating expenses have grown faster than revenue, helping explain why Tesla's operating income and margins weakened. The next step is to connect these findings to a financial forecast and evaluate how changes in revenue growth and expenses could affect future profitability.</t>
    </r>
  </si>
  <si>
    <t xml:space="preserve">Income statement ($millions)  </t>
  </si>
  <si>
    <t xml:space="preserve">cost of revenue </t>
  </si>
  <si>
    <t xml:space="preserve">gross profit </t>
  </si>
  <si>
    <t xml:space="preserve">R&amp;D </t>
  </si>
  <si>
    <t>restructuring and other</t>
  </si>
  <si>
    <t>total operating expenses</t>
  </si>
  <si>
    <t xml:space="preserve">interest income </t>
  </si>
  <si>
    <t>income before taxes</t>
  </si>
  <si>
    <t>provision for income taxes</t>
  </si>
  <si>
    <t>interest expense</t>
  </si>
  <si>
    <t xml:space="preserve">other expense income, net </t>
  </si>
  <si>
    <t xml:space="preserve">Balance sheet  ($millions)  </t>
  </si>
  <si>
    <t xml:space="preserve">short term investments </t>
  </si>
  <si>
    <t xml:space="preserve">accounts receivvable </t>
  </si>
  <si>
    <t xml:space="preserve">inventory </t>
  </si>
  <si>
    <t xml:space="preserve">property, plant and equipment </t>
  </si>
  <si>
    <t xml:space="preserve">total debts and finance leases </t>
  </si>
  <si>
    <t xml:space="preserve">total liabilities </t>
  </si>
  <si>
    <t xml:space="preserve">total stockholder equity </t>
  </si>
  <si>
    <t xml:space="preserve">prepaid expenses and other CA </t>
  </si>
  <si>
    <t>total non current assets</t>
  </si>
  <si>
    <t xml:space="preserve">total non current liabilities </t>
  </si>
  <si>
    <t xml:space="preserve">reedemable non controlling interest </t>
  </si>
  <si>
    <t xml:space="preserve">non controlling interest in subsidiaries </t>
  </si>
  <si>
    <t xml:space="preserve">cash flows  ($millions)  </t>
  </si>
  <si>
    <t xml:space="preserve">operating cash flow </t>
  </si>
  <si>
    <t xml:space="preserve">free cash flows </t>
  </si>
  <si>
    <t>Tesla's operating cash flow increased from $13.26 billion in 2023 to $14.75 billion in 2025, showing that the company maintained strong cash generation despite declining revenue and profitability. However, operating cash flow decreased slightly from 2024 to 2025, suggesting that cash generation has remained relatively stable rather than experiencing significant growth.
Capital expenditures decreased from $11.34 billion in 2024 to $8.53 billion in 2025, a reduction of approximately 25%. This decline helped Tesla preserve more cash, although lower capital spending does not necessarily indicate improved operating performance. Future investment requirements for AI, manufacturing, and energy infrastructure could increase capital expenditures again.
Free cash flow increased from $3.58 billion in 2024 to $6.22 billion in 2025, representing approximately 74% growth. This improvement was primarily driven by reduced capital expenditures rather than stronger operating cash flow. From a financial risk perspective, Tesla's positive free cash flow provides financial flexibility, but long-term sustainability will depend on improving profitability while funding future investments.</t>
  </si>
  <si>
    <t xml:space="preserve">revenue forcast </t>
  </si>
  <si>
    <t xml:space="preserve">2025      actual </t>
  </si>
  <si>
    <t xml:space="preserve">2026 forecast </t>
  </si>
  <si>
    <t xml:space="preserve">2027 forecast </t>
  </si>
  <si>
    <t xml:space="preserve">2028 forecast </t>
  </si>
  <si>
    <t xml:space="preserve">2029 forecast </t>
  </si>
  <si>
    <t xml:space="preserve">2030 forecast </t>
  </si>
  <si>
    <t>automotive</t>
  </si>
  <si>
    <t xml:space="preserve">energy generation &amp; storage </t>
  </si>
  <si>
    <t xml:space="preserve">revenue growth % </t>
  </si>
  <si>
    <t xml:space="preserve">automotive growth % </t>
  </si>
  <si>
    <t xml:space="preserve">energy growth </t>
  </si>
  <si>
    <t xml:space="preserve">services growth  </t>
  </si>
  <si>
    <t>revenue growth assumptions</t>
  </si>
  <si>
    <t>Tesla's total revenue is projected to increase from $94.83 billion in 2025 to approximately $141.27 billion by 2030, representing roughly 49% cumulative growth. This forecast assumes a gradual recovery in automotive revenue alongside continued expansion in energy generation and storage.
Energy is expected to be one of Tesla's strongest growth drivers, with projected revenue increasing from $12.77 billion in 2025 to approximately $30.45 billion by 2030. Meanwhile, automotive revenue is projected to reach $87.75 billion, reflecting a more conservative recovery following recent declines.
From a financial risk perspective, these projections depend on Tesla maintaining demand, managing competition, and successfully expanding its energy business. Actual performance could differ significantly from these assumptions, making scenario and sensitivity analysis important in later stages of the valuation.</t>
  </si>
  <si>
    <t xml:space="preserve">Profatibality forecast($millions)  </t>
  </si>
  <si>
    <t>total revenue</t>
  </si>
  <si>
    <t>gross margin %</t>
  </si>
  <si>
    <t>R&amp;D expenses</t>
  </si>
  <si>
    <t>SG&amp;A expenses</t>
  </si>
  <si>
    <t>operating margin %</t>
  </si>
  <si>
    <t>cost of revenue %</t>
  </si>
  <si>
    <t xml:space="preserve">R&amp;D % </t>
  </si>
  <si>
    <t>SG&amp;A %</t>
  </si>
  <si>
    <t>Profitability growth  assumptions</t>
  </si>
  <si>
    <t xml:space="preserve">restructuring (millions) </t>
  </si>
  <si>
    <r>
      <rPr>
        <b/>
        <sz val="16"/>
        <color theme="1"/>
        <rFont val="Aptos Narrow"/>
        <scheme val="minor"/>
      </rPr>
      <t>Profitability Forecast Analysis  (2026–2030</t>
    </r>
    <r>
      <rPr>
        <sz val="16"/>
        <color theme="1"/>
        <rFont val="Aptos Narrow"/>
        <family val="2"/>
        <scheme val="minor"/>
      </rPr>
      <t xml:space="preserve">)
Tesla's gross margin is projected to increase from 18.03% in 2025 to 23% by 2030. This forecast assumes that Tesla gradually improves manufacturing efficiency, benefits from economies of scale, and generates a larger share of revenue from its growing energy and services businesses. We assumed cost of revenue would decline from 81% of revenue in 2026 to 77% in 2030. These improvements are estimates rather than guaranteed outcomes, particularly given competition and potential pricing pressure in the automotive market.
Research and development expenses are projected to remain relatively high, ranging from 7% of revenue in 2026 to 6.2% by 2030. This assumption reflects Tesla's continued investment in AI, autonomous driving, robotics, and energy technologies. Meanwhile, SG&amp;A expenses are expected to decrease from 6% to 5.2% of revenue as the company grows and spreads administrative costs across a larger revenue base. Restructuring expenses are assumed to decline from $400 million in 2026 to $100 million in 2030, reflecting an expectation of fewer extraordinary restructuring costs.
Under these assumptions, Tesla's operating income is projected to increase from $4.36 billion in 2025 to approximately $16.29 billion in 2030, with operating margins improving from 4.59% to 11.52%. This recovery depends heavily on revenue growth, cost control, and successful execution of Tesla's expansion strategy. From a financial risk perspective, weaker demand, higher production costs, or increased R&amp;D spending could significantly reduce projected profitability. These assumptions will be tested later through scenario and sensitivity analysis.
</t>
    </r>
  </si>
  <si>
    <t>net  income forecast table</t>
  </si>
  <si>
    <t>interest income</t>
  </si>
  <si>
    <t>other income/expense</t>
  </si>
  <si>
    <t xml:space="preserve">net  income </t>
  </si>
  <si>
    <t>net profit margin %</t>
  </si>
  <si>
    <t>income tax expense</t>
  </si>
  <si>
    <t>net income  growth  assumptions</t>
  </si>
  <si>
    <t>other income/ expense</t>
  </si>
  <si>
    <t>effective tax rate %</t>
  </si>
  <si>
    <t xml:space="preserve">Tesla's net income is projected to increase from $3.86 billion in 2025 to approximately $12.93 billion by 2030, representing significant earnings growth over the forecast period. Net profit margin is expected to improve from 4.07% to 9.15%, driven primarily by higher revenue and improved operating efficiency.
The forecast assumes gradually declining interest income, slightly increasing financing expenses, and a normalized effective tax rate of 25%. Other nonoperating income and expenses are assumed to be zero due to their unpredictable nature.
Although the projections suggest a strong recovery in profitability, these results depend heavily on Tesla achieving its revenue growth targets and reducing operating costs as a percentage of revenue. Slower vehicle sales, increased competition, or higher operating expenses could materially reduce projected earnings.
</t>
  </si>
  <si>
    <t xml:space="preserve">cash flow forecast ($millions)  </t>
  </si>
  <si>
    <t xml:space="preserve">depreciation &amp; amortization </t>
  </si>
  <si>
    <t xml:space="preserve">stock based compensation </t>
  </si>
  <si>
    <t xml:space="preserve">change in working capital </t>
  </si>
  <si>
    <t>other operating adjustments</t>
  </si>
  <si>
    <t>operating CF</t>
  </si>
  <si>
    <t>FCF</t>
  </si>
  <si>
    <t xml:space="preserve">FCF % </t>
  </si>
  <si>
    <t>cash flows  assumptions</t>
  </si>
  <si>
    <t xml:space="preserve">D&amp;A </t>
  </si>
  <si>
    <t>stock based comp</t>
  </si>
  <si>
    <t>change in working capital</t>
  </si>
  <si>
    <t>other op. adjustsment</t>
  </si>
  <si>
    <t>Tesla's operating cash flow is projected to increase from $14.75 billion in 2025 to approximately $22.82 billion by 2030, supported by stronger net income and continued business expansion.
However, free cash flow is expected to decline from $6.22 billion in 2025 to approximately $2.54 billion in 2027, primarily due to elevated capital expenditures. The forecast assumes Tesla continues investing heavily in manufacturing capacity, energy infrastructure, and AI-related projects, temporarily reducing the cash available after investments.
From 2028 onward, free cash flow is projected to recover, reaching approximately $8.69 billion by 2030 as earnings increase and capital expenditures decline relative to revenue.
Despite this recovery, the projected 2030 free cash flow margin of 6.15% remains below the 2025 level of 6.56%. This suggests that Tesla's growth strategy could continue requiring substantial reinvestment, even as profitability improves.
These projections are based on independent assumptions and remain sensitive to future capital spending, operating performance, and working capital requirements.</t>
  </si>
  <si>
    <t xml:space="preserve">Unlevered FCF forecast ($millions) </t>
  </si>
  <si>
    <t xml:space="preserve">Operating income (ebit) </t>
  </si>
  <si>
    <t>tax rate %</t>
  </si>
  <si>
    <t xml:space="preserve">taxes on EBIT </t>
  </si>
  <si>
    <t xml:space="preserve"> NOPAT</t>
  </si>
  <si>
    <t>D&amp;A</t>
  </si>
  <si>
    <t xml:space="preserve">other non cash adjustment </t>
  </si>
  <si>
    <t>unlevered FCF</t>
  </si>
  <si>
    <t>DCF valuation assumptions</t>
  </si>
  <si>
    <t xml:space="preserve">risk free rate </t>
  </si>
  <si>
    <t xml:space="preserve">equity risk premium </t>
  </si>
  <si>
    <t>tesla beta</t>
  </si>
  <si>
    <t xml:space="preserve">cost of equity </t>
  </si>
  <si>
    <t xml:space="preserve">pre tax cost of debt </t>
  </si>
  <si>
    <t>corporate tax rate</t>
  </si>
  <si>
    <t>equity weight</t>
  </si>
  <si>
    <t xml:space="preserve">debt weight </t>
  </si>
  <si>
    <t xml:space="preserve">after tax cost of debt </t>
  </si>
  <si>
    <t>WACC</t>
  </si>
  <si>
    <t>terminal growth rate</t>
  </si>
  <si>
    <t xml:space="preserve">VALUE </t>
  </si>
  <si>
    <t xml:space="preserve">Discoutned cash flow valuation ($millions) </t>
  </si>
  <si>
    <t xml:space="preserve">unlevered FCF </t>
  </si>
  <si>
    <t xml:space="preserve">Discount factor </t>
  </si>
  <si>
    <t xml:space="preserve">present value of FCF </t>
  </si>
  <si>
    <t xml:space="preserve">Forecast period </t>
  </si>
  <si>
    <t>terminal value</t>
  </si>
  <si>
    <t>2030FCFF</t>
  </si>
  <si>
    <t xml:space="preserve">terminal value </t>
  </si>
  <si>
    <t xml:space="preserve">present value of terminal value </t>
  </si>
  <si>
    <t xml:space="preserve">DCF Valuation summary ($millions) </t>
  </si>
  <si>
    <t xml:space="preserve">present value of forecast </t>
  </si>
  <si>
    <t>present value of terminal value</t>
  </si>
  <si>
    <t>enterprise value</t>
  </si>
  <si>
    <t>equity valuation (millions $)</t>
  </si>
  <si>
    <t>EV</t>
  </si>
  <si>
    <t xml:space="preserve">cash and cash equivalent </t>
  </si>
  <si>
    <t>total debt and finance leases</t>
  </si>
  <si>
    <t>non controlling interest</t>
  </si>
  <si>
    <t>estimated equity value</t>
  </si>
  <si>
    <t xml:space="preserve">shares outstanding </t>
  </si>
  <si>
    <t>estimated value per share</t>
  </si>
  <si>
    <t xml:space="preserve">current market price per share </t>
  </si>
  <si>
    <t>up/downside %</t>
  </si>
  <si>
    <t xml:space="preserve">valuation difference ($/share) </t>
  </si>
  <si>
    <t>Tesla's financial projections indicate improving profitability and cash flow generation between 2026 and 2030. Revenue is expected to increase from $99.26 billion to $141.27 billion, while operating income grows from $5.56 billion to $16.29 billion. Operating cash flow is projected to rise from $14.53 billion to $22.82 billion. However, significant capital expenditures limit free cash flow during the earlier forecast years, with unlevered free cash flow increasing from $1.69 billion in 2026 to $7.98 billion by 2030.
Using a weighted average cost of capital (WACC) of 15.50% and a terminal growth rate of 3%, the discounted cash flow model estimates an enterprise value of $44.31 billion. Of this amount, $12.34 billion comes from forecasted cash flows, while $31.97 billion comes from terminal value. This means approximately 72% of the enterprise value depends on cash flows generated beyond 2030, making the valuation particularly sensitive to long-term growth and discount rate assumptions.
After adjusting for cash, short-term investments, debt, and noncontrolling interests, Tesla's estimated equity value reaches $79.27 billion, equivalent to approximately $21.12 per share. Compared with the market price of $386.83, the model indicates an implied downside of approximately 94.54%.
This significant difference suggests that the market may be pricing in future growth opportunities beyond those captured in the model, particularly autonomous driving, artificial intelligence, robotics, and energy storage. However, it could also reflect limitations in the forecasting assumptions. The model currently uses simplified projections for operating expenses, capital expenditures, working capital, and financing costs. Additionally, the WACC and capital structure assumptions require further validation.
Overall, the analysis demonstrates that Tesla's projected financial performance improves considerably through 2030, but the current DCF assumptions produce a valuation substantially below the observed market price. Before reaching an investment conclusion, further sensitivity analysis, scenario testing, and validation of the underlying financial assumptions are necessary.</t>
  </si>
  <si>
    <t xml:space="preserve">DCF sensitivity analysis </t>
  </si>
  <si>
    <t xml:space="preserve">wacc terminal growth </t>
  </si>
  <si>
    <t>Tesla's DCF sensitivity analysis produces estimated share values ranging from $18.65 to $25.17, depending on the discount rate and terminal growth assumptions. Lower WACC assumptions and higher terminal growth rates increase the estimated valuation, while higher discount rates reduce it. The base-case valuation is approximately $21.13 per share using a 15.5% WACC and 3% terminal growth rate. Even under the most favorable assumptions tested, the estimated value remains substantially below the observed market price of $386.83. This suggests that the model does not fully capture the growth expectations reflected in Tesla's market valuation, or that its underlying assumptions require further adjustment. Additional scenario analysis is necessary to evaluate these possibilities.</t>
  </si>
  <si>
    <t xml:space="preserve">Bear case </t>
  </si>
  <si>
    <t>base case</t>
  </si>
  <si>
    <t>bull case</t>
  </si>
  <si>
    <t>revenue growth adjustment</t>
  </si>
  <si>
    <t xml:space="preserve">operating margin adjustment </t>
  </si>
  <si>
    <t xml:space="preserve">capex adjustment </t>
  </si>
  <si>
    <t xml:space="preserve">scenario valuation analyis </t>
  </si>
  <si>
    <t>**Scenario Analysis Note:** The Bull, Base, and Bear scenarios adjust revenue growth, operating margins, and capital expenditures to evaluate how different operating conditions affect Tesla's valuation. As these assumptions change, the projected cash flows, enterprise value, and estimated share price automatically recalculate. The base case uses the original forecast assumptions, while the Bull and Bear cases represent more favorable and unfavorable operating conditions. Valuation results should only be interpreted once all model formulas have been validated.</t>
  </si>
  <si>
    <t>$C$201</t>
  </si>
  <si>
    <t>$C$202</t>
  </si>
  <si>
    <t>$C$203</t>
  </si>
  <si>
    <t>bear case</t>
  </si>
  <si>
    <t>Created by M Anderson on 10/21/2026</t>
  </si>
  <si>
    <t xml:space="preserve">base case </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</si>
  <si>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</si>
  <si>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</si>
  <si>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</si>
  <si>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</si>
  <si>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</si>
  <si>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</si>
  <si>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</si>
  <si>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$C$157</t>
  </si>
  <si>
    <t>$C$159</t>
  </si>
  <si>
    <r>
      <rPr>
        <b/>
        <sz val="14"/>
        <color theme="1"/>
        <rFont val="Aptos Narrow"/>
        <scheme val="minor"/>
      </rPr>
      <t xml:space="preserve"> Tesla: Final Valuation Analysis &amp; Conclusions (2026–2030)</t>
    </r>
    <r>
      <rPr>
        <sz val="14"/>
        <color theme="1"/>
        <rFont val="Aptos Narrow"/>
        <scheme val="minor"/>
      </rPr>
      <t xml:space="preserve">
Tesla's financial forecast projects revenue growth from $99.26 billion in 2026 to $141.27 billion in 2030, supported by expansion in automotive, energy storage, and services. Operating income is projected to increase from $5.56 billion to $16.29 billion, suggesting improvements in profitability and operating efficiency. However, substantial capital expenditures remain an important factor affecting Tesla's ability to convert revenue growth into free cash flow.
Using a discounted cash flow (DCF) model with a 15.50% weighted average cost of capital (WACC) and a 3% terminal growth rate, Tesla's estimated enterprise value is $44.31 billion. After adjusting for cash, investments, debt, and noncontrolling interests, the estimated equity value reaches $79.27 billion, or approximately $21.12 per share.
The sensitivity analysis produces estimated share values ranging from $18.65 to $25.17 as WACC and terminal growth assumptions change. Additionally, the operating scenario analysis produces valuations of $12.86 per share under the Bear Case, $21.12 under the Base Case, and $30.64 under the Bull Case. These results demonstrate that Tesla's valuation is sensitive to both its cost of capital and its ability to achieve projected revenue growth, operating margins, and capital expenditure levels.
Compared with the reference market price of $386.83 per share, all modeled valuations remain significantly lower. One possible explanation is that investors anticipate substantial future earnings from autonomous driving, artificial intelligence, robotics, and other businesses not explicitly valued in this model. However, the difference may also reflect limitations in the model's assumptions and valuation methodology.
Several assumptions require further validation before treating these results as an investment recommendation. The WACC uses illustrative market-risk and capital-structure inputs, while the terminal value accounts for approximately 72% of enterprise value. The unlevered free cash flow methodology also requires a closer review of noncash adjustments, working capital, and capital expenditures. Furthermore, the equity bridge uses historical balance sheet figures and a historical share count, which may differ from current values.
**Overall Conclusion:** Tesla's projected financial performance improves considerably through 2030, but the preliminary DCF model produces a valuation substantially below the reference market price. Rather than establishing that Tesla is definitively overvalued, these findings highlight the importance of testing financial assumptions, evaluating future growth opportunities, and understanding the risks associated with long-term forecasts. The next stage of the project will focus on identifying and quantifying these risks through financial stress testing.</t>
    </r>
  </si>
  <si>
    <t>Risk identification Matrix</t>
  </si>
  <si>
    <t xml:space="preserve">revenue </t>
  </si>
  <si>
    <t>profitability</t>
  </si>
  <si>
    <t xml:space="preserve">liquidity </t>
  </si>
  <si>
    <t>solvency</t>
  </si>
  <si>
    <t>capex</t>
  </si>
  <si>
    <t xml:space="preserve">valuation </t>
  </si>
  <si>
    <t xml:space="preserve">slower vehicle demand </t>
  </si>
  <si>
    <t xml:space="preserve">price competition </t>
  </si>
  <si>
    <t>higher cash requirement</t>
  </si>
  <si>
    <t xml:space="preserve">debt and fixed obligation </t>
  </si>
  <si>
    <t>higher investment spending</t>
  </si>
  <si>
    <t xml:space="preserve">changes in wacc and growth </t>
  </si>
  <si>
    <t xml:space="preserve">lower sales growth </t>
  </si>
  <si>
    <t xml:space="preserve">margin compression </t>
  </si>
  <si>
    <t>reduced cash reserves</t>
  </si>
  <si>
    <t xml:space="preserve">reduced financial flexibility </t>
  </si>
  <si>
    <t>lower free cash flo w</t>
  </si>
  <si>
    <t xml:space="preserve">lower intrinsic valuation </t>
  </si>
  <si>
    <t xml:space="preserve">risk category </t>
  </si>
  <si>
    <t xml:space="preserve">primary risk </t>
  </si>
  <si>
    <t xml:space="preserve">financial impact </t>
  </si>
  <si>
    <t xml:space="preserve">liquidity and solvency analysis </t>
  </si>
  <si>
    <t>current ratio</t>
  </si>
  <si>
    <t>quick ratio</t>
  </si>
  <si>
    <t xml:space="preserve">cash ratio </t>
  </si>
  <si>
    <t xml:space="preserve">debt to equity </t>
  </si>
  <si>
    <t>debt to asset</t>
  </si>
  <si>
    <t xml:space="preserve">operating cash flow ratio </t>
  </si>
  <si>
    <t xml:space="preserve">free cash flow margin </t>
  </si>
  <si>
    <t>Tesla's liquidity position improved from 2024 to 2025, with its current ratio increasing from 2.03 to 2.16 and its quick ratio rising from 1.42 to 1.53. This suggests the company has strengthened its ability to cover short-term obligations. Additionally, debt-to-equity declined from 11.3% to 10.2%, indicating relatively low financial leverage and reduced balance sheet risk.
However, the operating cash flow ratio decreased from 0.52 to 0.47, suggesting weaker operating cash generation relative to current liabilities. Despite this decline, Tesla's free cash flow margin improved from 3.7% to 6.6%, reflecting lower capital expenditures rather than stronger operating performance.
Overall, Tesla demonstrates a relatively strong liquidity position and limited debt exposure, although declining operating cash flow coverage remains an important risk to monitor.</t>
  </si>
  <si>
    <t xml:space="preserve">base </t>
  </si>
  <si>
    <t>mild</t>
  </si>
  <si>
    <t xml:space="preserve">moderate </t>
  </si>
  <si>
    <t xml:space="preserve">severe </t>
  </si>
  <si>
    <t xml:space="preserve">2026 revenue </t>
  </si>
  <si>
    <t xml:space="preserve">revenue shock </t>
  </si>
  <si>
    <t>revenue change</t>
  </si>
  <si>
    <t xml:space="preserve"> operating income change </t>
  </si>
  <si>
    <t xml:space="preserve">Revenue stress testing  ($millions) </t>
  </si>
  <si>
    <t>Tesla's revenue stress test demonstrates significant sensitivity to declining sales. Under the assumed cost structure of 80% variable costs and 20% fixed costs, a 10% decline in projected 2026 revenue reduces operating income from $5.56 billion to $3.13 billion, representing a decline of approximately 44%.
Under moderate stress, operating income falls to approximately $696 million, reducing operating margins from 5.60% to 0.88%. In the severe scenario, a 30% revenue decline results in an operating loss of approximately $1.73 billion.
These findings suggest that Tesla's profitability is highly sensitive to revenue performance, particularly when fixed operating expenses remain unchanged. Although the results depend on hypothetical cost assumptions, they highlight the importance of revenue stability and cost flexibility in managing financial risk.</t>
  </si>
  <si>
    <t xml:space="preserve">margin &amp; cost stress testing </t>
  </si>
  <si>
    <t>operating cost shock</t>
  </si>
  <si>
    <t>2026 revenue</t>
  </si>
  <si>
    <t>base operation cost</t>
  </si>
  <si>
    <t>stressed operation cost</t>
  </si>
  <si>
    <t>operating income change</t>
  </si>
  <si>
    <t>Tesla's margin and cost stress test highlights significant exposure to rising operating expenses. Holding projected 2026 revenue constant at $99.26 billion, a 5% increase in operating costs reduces operating income from $5.56 billion to approximately $870 million, representing an 84% decline.
Under moderate stress, a 10% increase in operating costs results in an operating loss of approximately $3.81 billion. In the severe scenario, operating losses reach $8.50 billion, with operating margins falling to -8.56%.
These findings demonstrate that Tesla's projected profitability is highly sensitive to cost inflation. While the scenarios are hypothetical, they emphasize the importance of controlling production expenses, maintaining pricing power, and improving operational efficiency.</t>
  </si>
  <si>
    <t>capex increase</t>
  </si>
  <si>
    <t xml:space="preserve">capex </t>
  </si>
  <si>
    <t>free cash flow</t>
  </si>
  <si>
    <t xml:space="preserve">FCF margin </t>
  </si>
  <si>
    <t xml:space="preserve">FCF status </t>
  </si>
  <si>
    <t xml:space="preserve">CF stress testing ($millions) </t>
  </si>
  <si>
    <t>FCF change vs. Base %</t>
  </si>
  <si>
    <t>Tesla's cash flow stress test highlights its sensitivity to declining operating cash flow and increasing capital expenditures. Under the mild scenario, projected 2026 free cash flow declines from $2.62 billion to approximately $574 million, representing a 78% reduction.
Under moderate stress, free cash flow turns negative at approximately $1.48 billion, while the severe scenario produces negative free cash flow of $3.52 billion. These results suggest that Tesla's projected cash generation may be insufficient to support its planned capital expenditures during periods of financial pressure.
Although Tesla maintains substantial liquidity reserves, sustained negative free cash flow could reduce financial flexibility and increase reliance on existing cash or external financing. These scenarios are hypothetical and demonstrate the importance of monitoring operating cash generation alongside future investment requirements.</t>
  </si>
  <si>
    <t xml:space="preserve">Montecarlos simulation </t>
  </si>
  <si>
    <t xml:space="preserve">Assumption </t>
  </si>
  <si>
    <t xml:space="preserve">base operation cash flow </t>
  </si>
  <si>
    <t>base capex</t>
  </si>
  <si>
    <t xml:space="preserve">OCF volatility </t>
  </si>
  <si>
    <t xml:space="preserve">CAPEX Volatility </t>
  </si>
  <si>
    <t>Number of simulations</t>
  </si>
  <si>
    <t xml:space="preserve">simulation </t>
  </si>
  <si>
    <t>Simulated OCF</t>
  </si>
  <si>
    <t>Simulated Capex</t>
  </si>
  <si>
    <t>Simulated FCF</t>
  </si>
  <si>
    <t xml:space="preserve">Monte Carlos Results </t>
  </si>
  <si>
    <t>Avg FCF</t>
  </si>
  <si>
    <t>Minimum FCF</t>
  </si>
  <si>
    <t>Maximum FCF</t>
  </si>
  <si>
    <t>Probability of Negative FCF</t>
  </si>
  <si>
    <t>5th Percentile FCF</t>
  </si>
  <si>
    <t>95th Percentile FCF</t>
  </si>
  <si>
    <t>Tesla's Monte Carlo simulation evaluates 1,000 potential free cash flow outcomes for 2026, incorporating hypothetical 10% volatility in operating cash flow and capital expenditures. The simulation produces an average free cash flow of approximately $2.64 billion, closely aligned with the base forecast of $2.62 billion.
Approximately 7.3% of simulated outcomes result in negative free cash flow, highlighting potential downside exposure when operating cash generation weakens or capital expenditures increase. The 5th percentile outcome of approximately negative $478 million indicates that adverse combinations of these factors could push Tesla into a cash flow deficit.
Although the simulation suggests positive free cash flow across most modeled outcomes, the results depend heavily on the selected volatility assumptions and distribution of potential financial outcomes. Consequently, these findings should be interpreted as an illustrative assessment of financial risk rather than a precise prediction.</t>
  </si>
  <si>
    <t>likelyhood (1-5)</t>
  </si>
  <si>
    <t>imapact (1-5)</t>
  </si>
  <si>
    <t>Risk score</t>
  </si>
  <si>
    <t xml:space="preserve">Risk Level </t>
  </si>
  <si>
    <t>Tesla's financial risk assessment identifies  profitability (20/25)  as its highest risk, followed by  revenue, capital expenditures, and valuation (16/25 each). Stress testing demonstrated significant operating leverage, with a 10% increase in operating costs resulting in negative operating income. Moderate cash flow stress also produced approximately $1.48 billion in negative free cash flow.
Meanwhile, liquidity (6/25) and solvency (4/25)  present relatively lower risks, supported by strong liquidity ratios and limited financial leverage. Overall, Tesla's primary modeled financial risks stem from profitability pressures and investment requirements rather than immediate balance sheet concerns. Risk scores reflect qualitative judgments based on hypothetical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</si>
</sst>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3" formatCode="0.000"/>
  </numFmts>
  <fonts count="33" x14ac:knownFonts="1">
    <font>
      <sz val="12"/>
      <color theme="1"/>
      <name val="Aptos Narrow"/>
      <family val="2"/>
      <scheme val="minor"/>
    </font>
    <font>
      <sz val="12"/>
      <color theme="1"/>
      <name val="Aptos Narrow"/>
      <family val="2"/>
      <scheme val="minor"/>
    </font>
    <font>
      <b/>
      <sz val="12"/>
      <color theme="1"/>
      <name val="Aptos Narrow"/>
      <family val="2"/>
      <scheme val="minor"/>
    </font>
    <font>
      <b/>
      <sz val="24"/>
      <color theme="1"/>
      <name val="Aptos Narrow"/>
      <family val="2"/>
      <scheme val="minor"/>
    </font>
    <font>
      <u/>
      <sz val="12"/>
      <color theme="10"/>
      <name val="Aptos Narrow"/>
      <family val="2"/>
      <scheme val="minor"/>
    </font>
    <font>
      <sz val="18"/>
      <color theme="1"/>
      <name val="Aptos Narrow"/>
      <family val="2"/>
      <scheme val="minor"/>
    </font>
    <font>
      <b/>
      <sz val="18"/>
      <color theme="1"/>
      <name val="Aptos Narrow"/>
      <family val="2"/>
      <scheme val="minor"/>
    </font>
    <font>
      <b/>
      <u/>
      <sz val="18"/>
      <color theme="1"/>
      <name val="Aptos Narrow"/>
      <family val="2"/>
      <scheme val="minor"/>
    </font>
    <font>
      <b/>
      <sz val="12"/>
      <color theme="1"/>
      <name val="Aptos Narrow"/>
      <scheme val="minor"/>
    </font>
    <font>
      <b/>
      <u/>
      <sz val="12"/>
      <color theme="1"/>
      <name val="Aptos Narrow"/>
      <scheme val="minor"/>
    </font>
    <font>
      <b/>
      <u/>
      <sz val="18"/>
      <color theme="1"/>
      <name val="Aptos Narrow"/>
      <scheme val="minor"/>
    </font>
    <font>
      <sz val="14"/>
      <color theme="1"/>
      <name val="Aptos Narrow"/>
      <scheme val="minor"/>
    </font>
    <font>
      <b/>
      <u/>
      <sz val="20"/>
      <color theme="1"/>
      <name val="Aptos Narrow"/>
      <family val="2"/>
      <scheme val="minor"/>
    </font>
    <font>
      <sz val="12"/>
      <color theme="1"/>
      <name val="Aptos Narrow"/>
      <scheme val="minor"/>
    </font>
    <font>
      <u/>
      <sz val="12"/>
      <color theme="1"/>
      <name val="Aptos Narrow"/>
      <family val="2"/>
      <scheme val="minor"/>
    </font>
    <font>
      <sz val="11"/>
      <color theme="1"/>
      <name val="Aptos Narrow (Body)"/>
    </font>
    <font>
      <sz val="16"/>
      <color theme="1"/>
      <name val="Aptos Narrow"/>
      <scheme val="minor"/>
    </font>
    <font>
      <sz val="13"/>
      <color theme="1"/>
      <name val="Aptos Narrow"/>
      <scheme val="minor"/>
    </font>
    <font>
      <sz val="16"/>
      <color theme="1"/>
      <name val="Aptos Narrow (Body)"/>
    </font>
    <font>
      <sz val="16"/>
      <color theme="1"/>
      <name val="Aptos Narrow"/>
      <family val="2"/>
      <scheme val="minor"/>
    </font>
    <font>
      <b/>
      <sz val="16"/>
      <color theme="1"/>
      <name val="Aptos Narrow"/>
      <scheme val="minor"/>
    </font>
    <font>
      <b/>
      <sz val="12"/>
      <color rgb="FFFF0000"/>
      <name val="Aptos Narrow"/>
      <scheme val="minor"/>
    </font>
    <font>
      <b/>
      <sz val="14"/>
      <color indexed="9"/>
      <name val="Aptos Narrow"/>
      <family val="2"/>
      <scheme val="minor"/>
    </font>
    <font>
      <b/>
      <sz val="12"/>
      <color indexed="8"/>
      <name val="Aptos Narrow"/>
      <family val="2"/>
      <scheme val="minor"/>
    </font>
    <font>
      <b/>
      <sz val="12"/>
      <color indexed="18"/>
      <name val="Aptos Narrow"/>
      <family val="2"/>
      <scheme val="minor"/>
    </font>
    <font>
      <sz val="11"/>
      <color indexed="9"/>
      <name val="Aptos Narrow"/>
      <family val="2"/>
      <scheme val="minor"/>
    </font>
    <font>
      <sz val="8"/>
      <color theme="1"/>
      <name val="Aptos Narrow"/>
      <scheme val="minor"/>
    </font>
    <font>
      <b/>
      <sz val="14"/>
      <color theme="1"/>
      <name val="Aptos Narrow"/>
      <scheme val="minor"/>
    </font>
    <font>
      <sz val="14"/>
      <color theme="1"/>
      <name val="Aptos Narrow (Body)"/>
    </font>
    <font>
      <sz val="13"/>
      <color theme="1"/>
      <name val="Aptos Narrow (Body)"/>
    </font>
    <font>
      <sz val="13"/>
      <color theme="1"/>
      <name val="Aptos Narrow"/>
      <family val="2"/>
      <scheme val="minor"/>
    </font>
    <font>
      <sz val="11"/>
      <color theme="1"/>
      <name val="Aptos Narrow"/>
      <family val="2"/>
      <scheme val="minor"/>
    </font>
    <font>
      <sz val="11"/>
      <color rgb="FF000000"/>
      <name val="Aptos Narrow"/>
      <scheme val="minor"/>
    </font>
  </fonts>
  <fills count="13">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C000"/>
        <bgColor rgb="FF000000"/>
      </patternFill>
    </fill>
    <fill>
      <patternFill patternType="solid">
        <fgColor theme="6"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
      <patternFill patternType="solid">
        <fgColor rgb="FFC0E6F5"/>
        <bgColor rgb="FF000000"/>
      </patternFill>
    </fill>
  </fills>
  <borders count="2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bottom style="thin">
        <color auto="1"/>
      </bottom>
      <diagonal/>
    </border>
    <border>
      <left style="thin">
        <color indexed="64"/>
      </left>
      <right/>
      <top/>
      <bottom style="thin">
        <color auto="1"/>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177">
    <xf numFmtId="0" fontId="0" fillId="0" borderId="0" xfId="0"/>
    <xf numFmtId="0" fontId="3" fillId="0" borderId="0" xfId="0" applyFont="1"/>
    <xf numFmtId="0" fontId="2" fillId="0" borderId="0" xfId="0" applyFont="1"/>
    <xf numFmtId="0" fontId="6" fillId="0" borderId="0" xfId="0" applyFont="1"/>
    <xf numFmtId="0" fontId="8" fillId="0" borderId="0" xfId="0" applyFont="1"/>
    <xf numFmtId="0" fontId="0" fillId="0" borderId="1" xfId="0" applyBorder="1"/>
    <xf numFmtId="0" fontId="2" fillId="0" borderId="2" xfId="0" applyFont="1" applyBorder="1"/>
    <xf numFmtId="0" fontId="0" fillId="0" borderId="3" xfId="0" applyBorder="1"/>
    <xf numFmtId="0" fontId="0" fillId="0" borderId="4" xfId="0" applyBorder="1"/>
    <xf numFmtId="0" fontId="3" fillId="0" borderId="4" xfId="0" applyFont="1" applyBorder="1"/>
    <xf numFmtId="0" fontId="7" fillId="0" borderId="4" xfId="0" applyFont="1" applyBorder="1"/>
    <xf numFmtId="0" fontId="5" fillId="0" borderId="4" xfId="0" applyFont="1" applyBorder="1" applyAlignment="1">
      <alignment wrapText="1"/>
    </xf>
    <xf numFmtId="0" fontId="10" fillId="0" borderId="4" xfId="0" applyFont="1" applyBorder="1"/>
    <xf numFmtId="0" fontId="12" fillId="0" borderId="4" xfId="0" applyFont="1" applyBorder="1"/>
    <xf numFmtId="0" fontId="0" fillId="0" borderId="5" xfId="0" applyBorder="1"/>
    <xf numFmtId="0" fontId="0" fillId="0" borderId="6" xfId="0" applyBorder="1"/>
    <xf numFmtId="2" fontId="11" fillId="0" borderId="4" xfId="0" applyNumberFormat="1" applyFont="1" applyBorder="1" applyAlignment="1">
      <alignment vertical="center" wrapText="1" shrinkToFit="1"/>
    </xf>
    <xf numFmtId="44" fontId="0" fillId="0" borderId="0" xfId="0" applyNumberFormat="1"/>
    <xf numFmtId="44" fontId="0" fillId="0" borderId="0" xfId="1" applyFont="1"/>
    <xf numFmtId="0" fontId="0" fillId="2" borderId="0" xfId="0" applyFill="1"/>
    <xf numFmtId="0" fontId="8" fillId="0" borderId="10" xfId="0" applyFont="1" applyBorder="1"/>
    <xf numFmtId="44" fontId="0" fillId="0" borderId="0" xfId="1" applyFont="1" applyBorder="1"/>
    <xf numFmtId="0" fontId="8" fillId="0" borderId="12" xfId="0" applyFont="1" applyBorder="1"/>
    <xf numFmtId="0" fontId="0" fillId="0" borderId="13" xfId="0" applyBorder="1"/>
    <xf numFmtId="44" fontId="0" fillId="0" borderId="13" xfId="0" applyNumberFormat="1" applyBorder="1"/>
    <xf numFmtId="0" fontId="8" fillId="0" borderId="15" xfId="0" applyFont="1" applyBorder="1"/>
    <xf numFmtId="0" fontId="0" fillId="0" borderId="16" xfId="0" applyBorder="1"/>
    <xf numFmtId="44" fontId="0" fillId="0" borderId="16" xfId="0" applyNumberFormat="1" applyBorder="1"/>
    <xf numFmtId="44" fontId="0" fillId="0" borderId="16" xfId="1" applyFont="1" applyBorder="1"/>
    <xf numFmtId="0" fontId="0" fillId="2" borderId="16" xfId="0" applyFill="1" applyBorder="1"/>
    <xf numFmtId="0" fontId="8" fillId="2" borderId="16" xfId="0" applyFont="1" applyFill="1" applyBorder="1"/>
    <xf numFmtId="0" fontId="8" fillId="2" borderId="13" xfId="0" applyFont="1" applyFill="1" applyBorder="1"/>
    <xf numFmtId="9" fontId="0" fillId="0" borderId="0" xfId="2" applyFont="1"/>
    <xf numFmtId="10" fontId="0" fillId="0" borderId="13" xfId="2" applyNumberFormat="1" applyFont="1" applyBorder="1"/>
    <xf numFmtId="0" fontId="0" fillId="0" borderId="11" xfId="0" applyBorder="1"/>
    <xf numFmtId="9" fontId="0" fillId="0" borderId="0" xfId="2" applyFont="1" applyBorder="1"/>
    <xf numFmtId="0" fontId="8" fillId="0" borderId="0" xfId="0" applyFont="1" applyAlignment="1">
      <alignment horizontal="center"/>
    </xf>
    <xf numFmtId="0" fontId="0" fillId="0" borderId="17" xfId="0" applyBorder="1"/>
    <xf numFmtId="9" fontId="0" fillId="0" borderId="16" xfId="2" applyFont="1" applyBorder="1"/>
    <xf numFmtId="0" fontId="8" fillId="3" borderId="15" xfId="0" applyFont="1" applyFill="1" applyBorder="1"/>
    <xf numFmtId="0" fontId="8" fillId="3" borderId="16" xfId="0" applyFont="1" applyFill="1" applyBorder="1"/>
    <xf numFmtId="0" fontId="8" fillId="3" borderId="17" xfId="0" applyFont="1" applyFill="1" applyBorder="1"/>
    <xf numFmtId="10" fontId="0" fillId="0" borderId="16" xfId="2" applyNumberFormat="1" applyFont="1" applyBorder="1"/>
    <xf numFmtId="0" fontId="8" fillId="3" borderId="18" xfId="0" applyFont="1" applyFill="1" applyBorder="1"/>
    <xf numFmtId="10" fontId="0" fillId="0" borderId="0" xfId="2" applyNumberFormat="1" applyFont="1" applyBorder="1"/>
    <xf numFmtId="0" fontId="8" fillId="3" borderId="7" xfId="0" applyFont="1" applyFill="1" applyBorder="1"/>
    <xf numFmtId="0" fontId="8" fillId="3" borderId="8" xfId="0" applyFont="1" applyFill="1" applyBorder="1"/>
    <xf numFmtId="0" fontId="8" fillId="3" borderId="9" xfId="0" applyFont="1" applyFill="1" applyBorder="1"/>
    <xf numFmtId="0" fontId="13" fillId="0" borderId="0" xfId="0" applyFont="1" applyAlignment="1">
      <alignment wrapText="1"/>
    </xf>
    <xf numFmtId="44" fontId="0" fillId="0" borderId="16" xfId="2" applyNumberFormat="1" applyFont="1" applyBorder="1"/>
    <xf numFmtId="44" fontId="0" fillId="0" borderId="0" xfId="2" applyNumberFormat="1" applyFont="1" applyBorder="1"/>
    <xf numFmtId="0" fontId="8" fillId="0" borderId="13" xfId="0" applyFont="1" applyBorder="1"/>
    <xf numFmtId="0" fontId="8" fillId="0" borderId="16" xfId="0" applyFont="1" applyBorder="1"/>
    <xf numFmtId="2" fontId="0" fillId="0" borderId="13" xfId="2" applyNumberFormat="1" applyFont="1" applyBorder="1"/>
    <xf numFmtId="0" fontId="8" fillId="0" borderId="15" xfId="0" applyFont="1" applyBorder="1" applyAlignment="1">
      <alignment wrapText="1"/>
    </xf>
    <xf numFmtId="44" fontId="8" fillId="0" borderId="16" xfId="2" applyNumberFormat="1" applyFont="1" applyBorder="1"/>
    <xf numFmtId="0" fontId="8" fillId="0" borderId="12" xfId="0" applyFont="1" applyBorder="1" applyAlignment="1">
      <alignment wrapText="1"/>
    </xf>
    <xf numFmtId="44" fontId="8" fillId="0" borderId="16" xfId="1" applyFont="1" applyBorder="1"/>
    <xf numFmtId="44" fontId="8" fillId="0" borderId="13" xfId="1" applyFont="1" applyBorder="1"/>
    <xf numFmtId="44" fontId="0" fillId="0" borderId="13" xfId="1" applyFont="1" applyBorder="1"/>
    <xf numFmtId="44" fontId="8" fillId="0" borderId="0" xfId="2" applyNumberFormat="1" applyFont="1" applyBorder="1"/>
    <xf numFmtId="0" fontId="0" fillId="0" borderId="12" xfId="0" applyBorder="1"/>
    <xf numFmtId="0" fontId="0" fillId="0" borderId="15" xfId="0" applyBorder="1"/>
    <xf numFmtId="0" fontId="8" fillId="3" borderId="16" xfId="0" applyFont="1" applyFill="1" applyBorder="1" applyAlignment="1">
      <alignment horizontal="center" wrapText="1"/>
    </xf>
    <xf numFmtId="44" fontId="0" fillId="0" borderId="11" xfId="0" applyNumberFormat="1" applyBorder="1"/>
    <xf numFmtId="44" fontId="0" fillId="0" borderId="17" xfId="0" applyNumberFormat="1" applyBorder="1"/>
    <xf numFmtId="10" fontId="0" fillId="0" borderId="17" xfId="2" applyNumberFormat="1" applyFont="1" applyBorder="1"/>
    <xf numFmtId="0" fontId="8" fillId="0" borderId="0" xfId="0" applyFont="1" applyAlignment="1">
      <alignment wrapText="1"/>
    </xf>
    <xf numFmtId="0" fontId="8" fillId="0" borderId="10" xfId="0" applyFont="1" applyBorder="1" applyAlignment="1">
      <alignment wrapText="1"/>
    </xf>
    <xf numFmtId="9" fontId="0" fillId="0" borderId="13" xfId="2" applyFont="1" applyBorder="1"/>
    <xf numFmtId="9" fontId="0" fillId="0" borderId="11" xfId="2" applyFont="1" applyBorder="1"/>
    <xf numFmtId="9" fontId="0" fillId="0" borderId="17" xfId="2" applyFont="1" applyBorder="1"/>
    <xf numFmtId="9" fontId="13" fillId="0" borderId="13" xfId="2" applyFont="1" applyBorder="1"/>
    <xf numFmtId="9" fontId="13" fillId="0" borderId="13" xfId="2" applyFont="1" applyBorder="1" applyAlignment="1">
      <alignment wrapText="1"/>
    </xf>
    <xf numFmtId="10" fontId="13" fillId="0" borderId="13" xfId="2" applyNumberFormat="1" applyFont="1" applyBorder="1"/>
    <xf numFmtId="10" fontId="13" fillId="0" borderId="13" xfId="2" applyNumberFormat="1" applyFont="1" applyBorder="1" applyAlignment="1">
      <alignment wrapText="1"/>
    </xf>
    <xf numFmtId="0" fontId="0" fillId="7" borderId="0" xfId="0" applyFill="1"/>
    <xf numFmtId="44" fontId="8" fillId="0" borderId="16" xfId="0" applyNumberFormat="1" applyFont="1" applyBorder="1" applyAlignment="1">
      <alignment horizontal="center" wrapText="1"/>
    </xf>
    <xf numFmtId="44" fontId="13" fillId="0" borderId="16" xfId="2" applyNumberFormat="1" applyFont="1" applyBorder="1"/>
    <xf numFmtId="10" fontId="0" fillId="0" borderId="0" xfId="2" applyNumberFormat="1" applyFont="1"/>
    <xf numFmtId="44" fontId="13" fillId="0" borderId="13" xfId="1" applyFont="1" applyBorder="1"/>
    <xf numFmtId="44" fontId="13" fillId="0" borderId="13" xfId="1" applyFont="1" applyBorder="1" applyAlignment="1">
      <alignment wrapText="1"/>
    </xf>
    <xf numFmtId="0" fontId="8" fillId="3" borderId="0" xfId="0" applyFont="1" applyFill="1"/>
    <xf numFmtId="9" fontId="13" fillId="0" borderId="0" xfId="2" applyFont="1" applyBorder="1"/>
    <xf numFmtId="9" fontId="8" fillId="0" borderId="15" xfId="2" applyFont="1" applyBorder="1" applyAlignment="1">
      <alignment wrapText="1"/>
    </xf>
    <xf numFmtId="0" fontId="19" fillId="3" borderId="0" xfId="0" applyFont="1" applyFill="1" applyAlignment="1">
      <alignment wrapText="1"/>
    </xf>
    <xf numFmtId="44" fontId="0" fillId="0" borderId="0" xfId="2" applyNumberFormat="1" applyFont="1"/>
    <xf numFmtId="10" fontId="13" fillId="0" borderId="16" xfId="2" applyNumberFormat="1" applyFont="1" applyBorder="1"/>
    <xf numFmtId="10" fontId="8" fillId="0" borderId="16" xfId="2" applyNumberFormat="1" applyFont="1" applyBorder="1"/>
    <xf numFmtId="0" fontId="19" fillId="0" borderId="0" xfId="0" applyFont="1" applyAlignment="1">
      <alignment wrapText="1"/>
    </xf>
    <xf numFmtId="44" fontId="13" fillId="0" borderId="16" xfId="1" applyFont="1" applyBorder="1"/>
    <xf numFmtId="44" fontId="8" fillId="0" borderId="16" xfId="1" applyFont="1" applyFill="1" applyBorder="1" applyAlignment="1">
      <alignment horizontal="center" wrapText="1"/>
    </xf>
    <xf numFmtId="9" fontId="0" fillId="0" borderId="16" xfId="1" applyNumberFormat="1" applyFont="1" applyFill="1" applyBorder="1"/>
    <xf numFmtId="0" fontId="0" fillId="3" borderId="19" xfId="0" applyFill="1" applyBorder="1"/>
    <xf numFmtId="0" fontId="0" fillId="3" borderId="20" xfId="0" applyFill="1" applyBorder="1"/>
    <xf numFmtId="0" fontId="8" fillId="0" borderId="11" xfId="0" applyFont="1" applyBorder="1"/>
    <xf numFmtId="0" fontId="0" fillId="0" borderId="0" xfId="2" applyNumberFormat="1" applyFont="1" applyAlignment="1">
      <alignment horizontal="right" indent="1"/>
    </xf>
    <xf numFmtId="0" fontId="0" fillId="0" borderId="15" xfId="0" applyBorder="1" applyAlignment="1">
      <alignment wrapText="1"/>
    </xf>
    <xf numFmtId="9" fontId="0" fillId="0" borderId="17" xfId="0" applyNumberFormat="1" applyBorder="1"/>
    <xf numFmtId="10" fontId="0" fillId="0" borderId="17" xfId="0" applyNumberFormat="1" applyBorder="1"/>
    <xf numFmtId="2" fontId="0" fillId="0" borderId="17" xfId="0" applyNumberFormat="1" applyBorder="1"/>
    <xf numFmtId="0" fontId="0" fillId="8" borderId="15" xfId="0" applyFill="1" applyBorder="1"/>
    <xf numFmtId="0" fontId="0" fillId="8" borderId="13" xfId="0" applyFill="1" applyBorder="1"/>
    <xf numFmtId="2" fontId="0" fillId="0" borderId="13" xfId="0" applyNumberFormat="1" applyBorder="1"/>
    <xf numFmtId="0" fontId="8" fillId="0" borderId="21" xfId="0" applyFont="1" applyBorder="1" applyAlignment="1">
      <alignment wrapText="1"/>
    </xf>
    <xf numFmtId="4" fontId="0" fillId="0" borderId="0" xfId="0" applyNumberFormat="1"/>
    <xf numFmtId="0" fontId="18" fillId="0" borderId="0" xfId="0" applyFont="1" applyAlignment="1">
      <alignment wrapText="1"/>
    </xf>
    <xf numFmtId="10" fontId="8" fillId="0" borderId="0" xfId="2" applyNumberFormat="1" applyFont="1"/>
    <xf numFmtId="9" fontId="21" fillId="0" borderId="0" xfId="2" applyFont="1" applyFill="1"/>
    <xf numFmtId="0" fontId="5" fillId="0" borderId="0" xfId="0" applyFont="1" applyAlignment="1">
      <alignment wrapText="1"/>
    </xf>
    <xf numFmtId="9" fontId="0" fillId="0" borderId="0" xfId="0" applyNumberFormat="1"/>
    <xf numFmtId="0" fontId="22" fillId="9" borderId="13" xfId="0" applyFont="1" applyFill="1" applyBorder="1" applyAlignment="1">
      <alignment horizontal="left"/>
    </xf>
    <xf numFmtId="0" fontId="22" fillId="9" borderId="22" xfId="0" applyFont="1" applyFill="1" applyBorder="1" applyAlignment="1">
      <alignment horizontal="left"/>
    </xf>
    <xf numFmtId="0" fontId="23" fillId="10" borderId="0" xfId="0" applyFont="1" applyFill="1" applyAlignment="1">
      <alignment horizontal="left"/>
    </xf>
    <xf numFmtId="0" fontId="24" fillId="10" borderId="16" xfId="0" applyFont="1" applyFill="1" applyBorder="1" applyAlignment="1">
      <alignment horizontal="left"/>
    </xf>
    <xf numFmtId="0" fontId="23" fillId="10" borderId="23" xfId="0" applyFont="1" applyFill="1" applyBorder="1" applyAlignment="1">
      <alignment horizontal="left"/>
    </xf>
    <xf numFmtId="0" fontId="25" fillId="9" borderId="22" xfId="0" applyFont="1" applyFill="1" applyBorder="1" applyAlignment="1">
      <alignment horizontal="right"/>
    </xf>
    <xf numFmtId="0" fontId="25" fillId="9" borderId="13" xfId="0" applyFont="1" applyFill="1" applyBorder="1" applyAlignment="1">
      <alignment horizontal="right"/>
    </xf>
    <xf numFmtId="9" fontId="0" fillId="11" borderId="0" xfId="0" applyNumberFormat="1" applyFill="1"/>
    <xf numFmtId="0" fontId="26" fillId="0" borderId="0" xfId="0" applyFont="1" applyAlignment="1">
      <alignment vertical="top" wrapText="1"/>
    </xf>
    <xf numFmtId="44" fontId="0" fillId="0" borderId="23" xfId="0" applyNumberFormat="1" applyBorder="1"/>
    <xf numFmtId="0" fontId="9" fillId="0" borderId="0" xfId="0" applyFont="1" applyAlignment="1">
      <alignment horizontal="center"/>
    </xf>
    <xf numFmtId="0" fontId="9" fillId="4" borderId="0" xfId="3" applyFont="1" applyFill="1" applyAlignment="1">
      <alignment horizontal="center"/>
    </xf>
    <xf numFmtId="0" fontId="0" fillId="3" borderId="0" xfId="0" applyFill="1" applyAlignment="1">
      <alignment horizontal="center" wrapText="1"/>
    </xf>
    <xf numFmtId="0" fontId="0" fillId="3" borderId="0" xfId="0" applyFill="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0" fontId="8" fillId="3" borderId="9" xfId="0" applyFont="1" applyFill="1" applyBorder="1" applyAlignment="1">
      <alignment horizontal="center"/>
    </xf>
    <xf numFmtId="0" fontId="13" fillId="3" borderId="0" xfId="0" applyFont="1" applyFill="1" applyAlignment="1">
      <alignment horizontal="center" wrapText="1"/>
    </xf>
    <xf numFmtId="10" fontId="13" fillId="0" borderId="15" xfId="2" applyNumberFormat="1" applyFont="1" applyBorder="1"/>
    <xf numFmtId="10" fontId="13" fillId="0" borderId="17" xfId="2" applyNumberFormat="1" applyFont="1" applyBorder="1"/>
    <xf numFmtId="10" fontId="13" fillId="0" borderId="12" xfId="2" applyNumberFormat="1" applyFont="1" applyBorder="1"/>
    <xf numFmtId="10" fontId="13" fillId="0" borderId="14" xfId="2" applyNumberFormat="1" applyFont="1" applyBorder="1"/>
    <xf numFmtId="0" fontId="0" fillId="0" borderId="0" xfId="0"/>
    <xf numFmtId="0" fontId="13" fillId="6" borderId="0" xfId="0" applyFont="1" applyFill="1" applyAlignment="1">
      <alignment horizontal="center" wrapText="1"/>
    </xf>
    <xf numFmtId="0" fontId="14" fillId="5" borderId="0" xfId="3" applyFont="1" applyFill="1" applyAlignment="1">
      <alignment horizontal="center"/>
    </xf>
    <xf numFmtId="0" fontId="18" fillId="3" borderId="0" xfId="0" applyFont="1" applyFill="1" applyAlignment="1">
      <alignment horizontal="center" wrapText="1"/>
    </xf>
    <xf numFmtId="0" fontId="17" fillId="3" borderId="0" xfId="0" applyFont="1" applyFill="1" applyAlignment="1">
      <alignment horizontal="center" wrapText="1"/>
    </xf>
    <xf numFmtId="0" fontId="8" fillId="8" borderId="0" xfId="0" applyFont="1" applyFill="1" applyAlignment="1">
      <alignment horizontal="center"/>
    </xf>
    <xf numFmtId="0" fontId="5" fillId="3" borderId="0" xfId="0" applyFont="1" applyFill="1" applyAlignment="1">
      <alignment horizontal="center" wrapText="1"/>
    </xf>
    <xf numFmtId="0" fontId="11" fillId="6" borderId="0" xfId="0" applyFont="1" applyFill="1" applyAlignment="1">
      <alignment horizontal="center" wrapText="1"/>
    </xf>
    <xf numFmtId="0" fontId="11" fillId="8" borderId="0" xfId="0" applyFont="1" applyFill="1" applyAlignment="1">
      <alignment horizontal="center" wrapText="1"/>
    </xf>
    <xf numFmtId="0" fontId="0" fillId="8" borderId="12" xfId="0" applyFill="1" applyBorder="1" applyAlignment="1">
      <alignment horizontal="center"/>
    </xf>
    <xf numFmtId="0" fontId="8" fillId="8" borderId="12" xfId="0" applyFont="1" applyFill="1" applyBorder="1" applyAlignment="1">
      <alignment horizontal="center"/>
    </xf>
    <xf numFmtId="0" fontId="8" fillId="8" borderId="14" xfId="0" applyFont="1" applyFill="1" applyBorder="1" applyAlignment="1">
      <alignment horizontal="center"/>
    </xf>
    <xf numFmtId="0" fontId="8" fillId="3" borderId="12" xfId="0" applyFont="1" applyFill="1" applyBorder="1" applyAlignment="1">
      <alignment horizontal="center"/>
    </xf>
    <xf numFmtId="0" fontId="8" fillId="3" borderId="13" xfId="0" applyFont="1" applyFill="1" applyBorder="1" applyAlignment="1">
      <alignment horizontal="center"/>
    </xf>
    <xf numFmtId="0" fontId="8" fillId="3" borderId="20" xfId="0" applyFont="1" applyFill="1" applyBorder="1" applyAlignment="1">
      <alignment horizontal="center"/>
    </xf>
    <xf numFmtId="0" fontId="8" fillId="3" borderId="19" xfId="0" applyFont="1" applyFill="1" applyBorder="1" applyAlignment="1">
      <alignment horizontal="center"/>
    </xf>
    <xf numFmtId="0" fontId="19" fillId="3" borderId="0" xfId="0" applyFont="1" applyFill="1" applyAlignment="1">
      <alignment horizontal="center" wrapText="1"/>
    </xf>
    <xf numFmtId="0" fontId="19" fillId="3" borderId="0" xfId="0" applyFont="1" applyFill="1" applyAlignment="1">
      <alignment horizontal="center"/>
    </xf>
    <xf numFmtId="0" fontId="16" fillId="3" borderId="0" xfId="0" applyFont="1" applyFill="1" applyAlignment="1">
      <alignment horizontal="center" wrapText="1"/>
    </xf>
    <xf numFmtId="0" fontId="8" fillId="3" borderId="11" xfId="0" applyFont="1" applyFill="1" applyBorder="1" applyAlignment="1">
      <alignment horizontal="center"/>
    </xf>
    <xf numFmtId="0" fontId="0" fillId="0" borderId="8" xfId="0" applyBorder="1"/>
    <xf numFmtId="0" fontId="8" fillId="3" borderId="11" xfId="0" applyFont="1" applyFill="1" applyBorder="1" applyAlignment="1">
      <alignment horizontal="center" wrapText="1"/>
    </xf>
    <xf numFmtId="0" fontId="0" fillId="0" borderId="8" xfId="0" applyBorder="1" applyAlignment="1">
      <alignment wrapText="1"/>
    </xf>
    <xf numFmtId="0" fontId="0" fillId="0" borderId="0" xfId="0" applyAlignment="1">
      <alignment wrapText="1"/>
    </xf>
    <xf numFmtId="0" fontId="0" fillId="3" borderId="0" xfId="0" applyFill="1"/>
    <xf numFmtId="0" fontId="0" fillId="3" borderId="19" xfId="0" applyFill="1" applyBorder="1" applyAlignment="1">
      <alignment horizontal="center"/>
    </xf>
    <xf numFmtId="0" fontId="0" fillId="3" borderId="19" xfId="0" applyFill="1" applyBorder="1" applyAlignment="1">
      <alignment wrapText="1"/>
    </xf>
    <xf numFmtId="0" fontId="0" fillId="0" borderId="11" xfId="0" applyBorder="1" applyAlignment="1">
      <alignment wrapText="1"/>
    </xf>
    <xf numFmtId="0" fontId="0" fillId="0" borderId="9" xfId="0" applyBorder="1" applyAlignment="1">
      <alignment wrapText="1"/>
    </xf>
    <xf numFmtId="0" fontId="0" fillId="0" borderId="9" xfId="0" applyBorder="1"/>
    <xf numFmtId="173" fontId="0" fillId="0" borderId="0" xfId="0" applyNumberFormat="1"/>
    <xf numFmtId="173" fontId="0" fillId="0" borderId="11" xfId="0" applyNumberFormat="1" applyBorder="1"/>
    <xf numFmtId="173" fontId="0" fillId="0" borderId="0" xfId="0" applyNumberFormat="1" applyBorder="1"/>
    <xf numFmtId="0" fontId="15" fillId="3" borderId="0" xfId="0" applyFont="1" applyFill="1" applyAlignment="1">
      <alignment horizontal="center" wrapText="1"/>
    </xf>
    <xf numFmtId="0" fontId="8" fillId="3" borderId="19" xfId="0" applyFont="1" applyFill="1" applyBorder="1" applyAlignment="1">
      <alignment horizontal="center" wrapText="1"/>
    </xf>
    <xf numFmtId="0" fontId="8" fillId="3" borderId="19" xfId="0" applyFont="1" applyFill="1" applyBorder="1" applyAlignment="1">
      <alignment wrapText="1"/>
    </xf>
    <xf numFmtId="0" fontId="8" fillId="3" borderId="19" xfId="0" applyFont="1" applyFill="1" applyBorder="1"/>
    <xf numFmtId="0" fontId="28" fillId="3" borderId="0" xfId="0" applyFont="1" applyFill="1" applyAlignment="1">
      <alignment horizontal="center" wrapText="1"/>
    </xf>
    <xf numFmtId="0" fontId="29" fillId="3" borderId="0" xfId="0" applyFont="1" applyFill="1" applyAlignment="1">
      <alignment horizontal="center" wrapText="1"/>
    </xf>
    <xf numFmtId="0" fontId="30" fillId="3" borderId="0" xfId="0" applyFont="1" applyFill="1" applyAlignment="1">
      <alignment horizontal="center"/>
    </xf>
    <xf numFmtId="0" fontId="31" fillId="3" borderId="0" xfId="0" applyFont="1" applyFill="1" applyAlignment="1">
      <alignment horizontal="center"/>
    </xf>
    <xf numFmtId="0" fontId="13" fillId="0" borderId="0" xfId="0" applyFont="1"/>
    <xf numFmtId="0" fontId="0" fillId="0" borderId="0" xfId="0" applyAlignment="1"/>
    <xf numFmtId="0" fontId="32" fillId="12" borderId="0" xfId="0" applyFont="1" applyFill="1" applyAlignment="1">
      <alignment horizontal="center" wrapText="1"/>
    </xf>
  </cellXfs>
  <cellStyles count="4">
    <cellStyle name="Currency" xfId="1" builtinId="4"/>
    <cellStyle name="Hyperlink" xfId="3" builtinId="8"/>
    <cellStyle name="Normal" xfId="0" builtinId="0"/>
    <cellStyle name="Percent" xfId="2" builtinId="5"/>
  </cellStyles>
  <dxfs count="6">
    <dxf>
      <font>
        <b val="0"/>
        <strike val="0"/>
        <outline val="0"/>
        <shadow val="0"/>
        <u val="none"/>
        <vertAlign val="baseline"/>
        <sz val="14"/>
        <color theme="1"/>
        <name val="Aptos Narrow"/>
        <scheme val="minor"/>
      </font>
      <numFmt numFmtId="2" formatCode="0.00"/>
      <alignment horizontal="general" vertical="center" textRotation="0" wrapText="1" indent="0" justifyLastLine="0" shrinkToFit="1" readingOrder="0"/>
    </dxf>
    <dxf>
      <font>
        <b val="0"/>
        <strike val="0"/>
        <outline val="0"/>
        <shadow val="0"/>
        <u val="none"/>
        <vertAlign val="baseline"/>
        <sz val="14"/>
        <color theme="1"/>
        <name val="Aptos Narrow"/>
        <scheme val="minor"/>
      </font>
      <numFmt numFmtId="2" formatCode="0.00"/>
      <alignment horizontal="general" vertical="center" textRotation="0" wrapText="1" indent="0" justifyLastLine="0" shrinkToFit="1" readingOrder="0"/>
    </dxf>
    <dxf>
      <font>
        <b/>
        <strike val="0"/>
        <outline val="0"/>
        <shadow val="0"/>
        <u/>
        <vertAlign val="baseline"/>
        <sz val="18"/>
        <color theme="1"/>
        <name val="Aptos Narrow"/>
        <scheme val="minor"/>
      </font>
    </dxf>
    <dxf>
      <font>
        <strike val="0"/>
        <outline val="0"/>
        <shadow val="0"/>
        <u val="none"/>
        <vertAlign val="baseline"/>
        <sz val="18"/>
        <color theme="1"/>
        <name val="Aptos Narrow"/>
        <family val="2"/>
        <scheme val="minor"/>
      </font>
      <alignment horizontal="general" vertical="bottom" textRotation="0" wrapText="1" indent="0" justifyLastLine="0" shrinkToFit="0" readingOrder="0"/>
    </dxf>
    <dxf>
      <font>
        <strike val="0"/>
        <outline val="0"/>
        <shadow val="0"/>
        <u val="none"/>
        <vertAlign val="baseline"/>
        <sz val="18"/>
        <color theme="1"/>
        <name val="Aptos Narrow"/>
        <family val="2"/>
        <scheme val="minor"/>
      </font>
      <alignment horizontal="general" vertical="bottom" textRotation="0" wrapText="1" indent="0" justifyLastLine="0" shrinkToFit="0" readingOrder="0"/>
    </dxf>
    <dxf>
      <font>
        <b/>
        <i val="0"/>
        <strike val="0"/>
        <condense val="0"/>
        <extend val="0"/>
        <outline val="0"/>
        <shadow val="0"/>
        <u/>
        <vertAlign val="baseline"/>
        <sz val="18"/>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Tesla FCF distribution </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467E62DA-EC0E-F24A-988A-706BEA4CDDC7}">
          <cx:tx>
            <cx:txData>
              <cx:f>_xlchart.v1.0</cx:f>
              <cx:v>Simulated FCF</cx:v>
            </cx:txData>
          </cx:tx>
          <cx:dataId val="0"/>
          <cx:layoutPr>
            <cx:binning intervalClosed="r"/>
          </cx:layoutPr>
        </cx:series>
      </cx:plotAreaRegion>
      <cx:axis id="0" hidden="1">
        <cx:catScaling gapWidth="0"/>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Free cash lows (millions) </a:t>
                </a:r>
              </a:p>
              <a:p>
                <a:pPr algn="ctr" rtl="0">
                  <a:defRPr/>
                </a:pPr>
                <a:endParaRPr lang="en-US" sz="900" b="0" i="0" u="none" strike="noStrike" baseline="0">
                  <a:solidFill>
                    <a:sysClr val="windowText" lastClr="000000">
                      <a:lumMod val="65000"/>
                      <a:lumOff val="35000"/>
                    </a:sysClr>
                  </a:solidFill>
                  <a:latin typeface="Aptos Narrow" panose="02110004020202020204"/>
                </a:endParaRPr>
              </a:p>
            </cx:rich>
          </cx:tx>
        </cx:title>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31750</xdr:colOff>
      <xdr:row>80</xdr:row>
      <xdr:rowOff>88900</xdr:rowOff>
    </xdr:from>
    <xdr:to>
      <xdr:col>15</xdr:col>
      <xdr:colOff>431800</xdr:colOff>
      <xdr:row>98</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119C861-2BEA-2DFC-2DD9-036D9A007B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687050" y="22720300"/>
              <a:ext cx="5353050" cy="3568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6BB3FD-97F8-764C-8346-B3DF9408D8F0}" name="Table1" displayName="Table1" ref="B8:B9" totalsRowShown="0" headerRowDxfId="5" dataDxfId="4">
  <autoFilter ref="B8:B9" xr:uid="{A86BB3FD-97F8-764C-8346-B3DF9408D8F0}"/>
  <tableColumns count="1">
    <tableColumn id="1" xr3:uid="{108B1F2A-0B12-F740-8C4B-AFB7AF03CC5E}" name="Project objective" dataDxf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A45D79-7F52-A94F-B4C5-FD0D05A31528}" name="Table2" displayName="Table2" ref="B11:B20" totalsRowShown="0" headerRowDxfId="2" dataDxfId="1">
  <autoFilter ref="B11:B20" xr:uid="{62A45D79-7F52-A94F-B4C5-FD0D05A31528}"/>
  <tableColumns count="1">
    <tableColumn id="1" xr3:uid="{AFB6429F-07E3-4C4B-8948-FE05BD36BC7A}" name="Research 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sec.gov/Archives/edgar/data/1318605/000162828026003952/tsla-20251231.htm?utm_source=chatgpt.com" TargetMode="External"/><Relationship Id="rId2" Type="http://schemas.openxmlformats.org/officeDocument/2006/relationships/hyperlink" Target="https://www.sec.gov/Archives/edgar/data/1318605/000162828026003952/tsla-20251231.htm?utm_source=chatgpt.com" TargetMode="External"/><Relationship Id="rId1" Type="http://schemas.openxmlformats.org/officeDocument/2006/relationships/hyperlink" Target="https://www.sec.gov/Archives/edgar/data/1318605/000162828026003952/tsla-20251231.htm?utm_source=chatgpt.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FD9D-4A86-CA43-BA1A-051921E380E6}">
  <dimension ref="A2:B50"/>
  <sheetViews>
    <sheetView showGridLines="0" topLeftCell="A6" zoomScale="68" zoomScaleNormal="100" workbookViewId="0">
      <selection activeCell="G11" sqref="G11"/>
    </sheetView>
  </sheetViews>
  <sheetFormatPr baseColWidth="10" defaultRowHeight="16" x14ac:dyDescent="0.2"/>
  <cols>
    <col min="2" max="2" width="131.83203125" bestFit="1" customWidth="1"/>
  </cols>
  <sheetData>
    <row r="2" spans="1:2" ht="32" x14ac:dyDescent="0.4">
      <c r="B2" s="1"/>
    </row>
    <row r="3" spans="1:2" ht="17" thickBot="1" x14ac:dyDescent="0.25"/>
    <row r="4" spans="1:2" x14ac:dyDescent="0.2">
      <c r="A4" s="5"/>
      <c r="B4" s="6"/>
    </row>
    <row r="5" spans="1:2" ht="7" customHeight="1" x14ac:dyDescent="0.2">
      <c r="A5" s="7"/>
      <c r="B5" s="8"/>
    </row>
    <row r="6" spans="1:2" ht="50" customHeight="1" x14ac:dyDescent="0.4">
      <c r="A6" s="7"/>
      <c r="B6" s="9" t="s">
        <v>0</v>
      </c>
    </row>
    <row r="7" spans="1:2" x14ac:dyDescent="0.2">
      <c r="A7" s="7"/>
      <c r="B7" s="8"/>
    </row>
    <row r="8" spans="1:2" ht="24" x14ac:dyDescent="0.3">
      <c r="A8" s="7"/>
      <c r="B8" s="10" t="s">
        <v>1</v>
      </c>
    </row>
    <row r="9" spans="1:2" ht="75" x14ac:dyDescent="0.3">
      <c r="A9" s="7"/>
      <c r="B9" s="11" t="s">
        <v>2</v>
      </c>
    </row>
    <row r="10" spans="1:2" x14ac:dyDescent="0.2">
      <c r="A10" s="7"/>
      <c r="B10" s="8"/>
    </row>
    <row r="11" spans="1:2" ht="24" x14ac:dyDescent="0.3">
      <c r="A11" s="7"/>
      <c r="B11" s="12" t="s">
        <v>3</v>
      </c>
    </row>
    <row r="12" spans="1:2" ht="20" x14ac:dyDescent="0.2">
      <c r="A12" s="7"/>
      <c r="B12" s="16" t="s">
        <v>4</v>
      </c>
    </row>
    <row r="13" spans="1:2" ht="19" x14ac:dyDescent="0.2">
      <c r="A13" s="7"/>
      <c r="B13" s="16"/>
    </row>
    <row r="14" spans="1:2" ht="20" x14ac:dyDescent="0.2">
      <c r="A14" s="7"/>
      <c r="B14" s="16" t="s">
        <v>5</v>
      </c>
    </row>
    <row r="15" spans="1:2" ht="19" x14ac:dyDescent="0.2">
      <c r="A15" s="7"/>
      <c r="B15" s="16"/>
    </row>
    <row r="16" spans="1:2" ht="20" x14ac:dyDescent="0.2">
      <c r="A16" s="7"/>
      <c r="B16" s="16" t="s">
        <v>6</v>
      </c>
    </row>
    <row r="17" spans="1:2" ht="19" x14ac:dyDescent="0.2">
      <c r="A17" s="7"/>
      <c r="B17" s="16"/>
    </row>
    <row r="18" spans="1:2" ht="20" x14ac:dyDescent="0.2">
      <c r="A18" s="7"/>
      <c r="B18" s="16" t="s">
        <v>7</v>
      </c>
    </row>
    <row r="19" spans="1:2" ht="19" x14ac:dyDescent="0.2">
      <c r="A19" s="7"/>
      <c r="B19" s="16"/>
    </row>
    <row r="20" spans="1:2" ht="20" x14ac:dyDescent="0.2">
      <c r="A20" s="7"/>
      <c r="B20" s="16" t="s">
        <v>8</v>
      </c>
    </row>
    <row r="21" spans="1:2" x14ac:dyDescent="0.2">
      <c r="A21" s="7"/>
      <c r="B21" s="8"/>
    </row>
    <row r="22" spans="1:2" x14ac:dyDescent="0.2">
      <c r="A22" s="7"/>
      <c r="B22" s="8"/>
    </row>
    <row r="23" spans="1:2" ht="27" x14ac:dyDescent="0.35">
      <c r="A23" s="7"/>
      <c r="B23" s="13" t="s">
        <v>9</v>
      </c>
    </row>
    <row r="24" spans="1:2" x14ac:dyDescent="0.2">
      <c r="A24" s="7"/>
      <c r="B24" s="8"/>
    </row>
    <row r="25" spans="1:2" x14ac:dyDescent="0.2">
      <c r="A25" s="7"/>
      <c r="B25" s="8" t="s">
        <v>10</v>
      </c>
    </row>
    <row r="26" spans="1:2" x14ac:dyDescent="0.2">
      <c r="A26" s="7"/>
      <c r="B26" s="8"/>
    </row>
    <row r="27" spans="1:2" x14ac:dyDescent="0.2">
      <c r="A27" s="7"/>
      <c r="B27" s="8" t="s">
        <v>11</v>
      </c>
    </row>
    <row r="28" spans="1:2" x14ac:dyDescent="0.2">
      <c r="A28" s="7"/>
      <c r="B28" s="8"/>
    </row>
    <row r="29" spans="1:2" x14ac:dyDescent="0.2">
      <c r="A29" s="7"/>
      <c r="B29" s="8" t="s">
        <v>12</v>
      </c>
    </row>
    <row r="30" spans="1:2" x14ac:dyDescent="0.2">
      <c r="A30" s="7"/>
      <c r="B30" s="8"/>
    </row>
    <row r="31" spans="1:2" x14ac:dyDescent="0.2">
      <c r="A31" s="7"/>
      <c r="B31" s="8" t="s">
        <v>13</v>
      </c>
    </row>
    <row r="32" spans="1:2" x14ac:dyDescent="0.2">
      <c r="A32" s="7"/>
      <c r="B32" s="8"/>
    </row>
    <row r="33" spans="1:2" x14ac:dyDescent="0.2">
      <c r="A33" s="7"/>
      <c r="B33" s="8" t="s">
        <v>14</v>
      </c>
    </row>
    <row r="34" spans="1:2" x14ac:dyDescent="0.2">
      <c r="A34" s="7"/>
      <c r="B34" s="8"/>
    </row>
    <row r="35" spans="1:2" x14ac:dyDescent="0.2">
      <c r="A35" s="7"/>
      <c r="B35" s="8" t="s">
        <v>15</v>
      </c>
    </row>
    <row r="36" spans="1:2" x14ac:dyDescent="0.2">
      <c r="A36" s="7"/>
      <c r="B36" s="8"/>
    </row>
    <row r="37" spans="1:2" x14ac:dyDescent="0.2">
      <c r="A37" s="7"/>
      <c r="B37" s="8" t="s">
        <v>16</v>
      </c>
    </row>
    <row r="38" spans="1:2" x14ac:dyDescent="0.2">
      <c r="A38" s="7"/>
      <c r="B38" s="8"/>
    </row>
    <row r="39" spans="1:2" ht="17" thickBot="1" x14ac:dyDescent="0.25">
      <c r="A39" s="14"/>
      <c r="B39" s="15"/>
    </row>
    <row r="50" spans="2:2" x14ac:dyDescent="0.2">
      <c r="B50" s="2"/>
    </row>
  </sheetData>
  <pageMargins left="0.7" right="0.7" top="0.75" bottom="0.75" header="0.3" footer="0.3"/>
  <pageSetup orientation="portrait" horizontalDpi="0" verticalDpi="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76577-A6CB-304E-9EB8-5520D94FD2EB}">
  <dimension ref="A2:S155"/>
  <sheetViews>
    <sheetView topLeftCell="A105" zoomScale="75" zoomScaleNormal="113" workbookViewId="0">
      <selection activeCell="D122" sqref="D122:E122"/>
    </sheetView>
  </sheetViews>
  <sheetFormatPr baseColWidth="10" defaultRowHeight="16" x14ac:dyDescent="0.2"/>
  <cols>
    <col min="1" max="1" width="8" customWidth="1"/>
    <col min="2" max="2" width="33" bestFit="1" customWidth="1"/>
    <col min="4" max="4" width="22" bestFit="1" customWidth="1"/>
    <col min="5" max="5" width="13.5" bestFit="1" customWidth="1"/>
    <col min="6" max="6" width="12.33203125" bestFit="1" customWidth="1"/>
    <col min="8" max="8" width="19.1640625" bestFit="1" customWidth="1"/>
    <col min="9" max="9" width="15.1640625" bestFit="1" customWidth="1"/>
  </cols>
  <sheetData>
    <row r="2" spans="2:19" ht="24" x14ac:dyDescent="0.3">
      <c r="B2" s="3" t="s">
        <v>30</v>
      </c>
    </row>
    <row r="3" spans="2:19" x14ac:dyDescent="0.2">
      <c r="B3" s="121" t="s">
        <v>17</v>
      </c>
      <c r="C3" s="121"/>
      <c r="D3" s="121"/>
    </row>
    <row r="6" spans="2:19" x14ac:dyDescent="0.2">
      <c r="L6" s="123" t="s">
        <v>28</v>
      </c>
      <c r="M6" s="124"/>
      <c r="N6" s="124"/>
      <c r="O6" s="124"/>
      <c r="P6" s="124"/>
      <c r="Q6" s="124"/>
      <c r="R6" s="124"/>
      <c r="S6" s="124"/>
    </row>
    <row r="7" spans="2:19" x14ac:dyDescent="0.2">
      <c r="L7" s="124"/>
      <c r="M7" s="124"/>
      <c r="N7" s="124"/>
      <c r="O7" s="124"/>
      <c r="P7" s="124"/>
      <c r="Q7" s="124"/>
      <c r="R7" s="124"/>
      <c r="S7" s="124"/>
    </row>
    <row r="8" spans="2:19" x14ac:dyDescent="0.2">
      <c r="L8" s="124"/>
      <c r="M8" s="124"/>
      <c r="N8" s="124"/>
      <c r="O8" s="124"/>
      <c r="P8" s="124"/>
      <c r="Q8" s="124"/>
      <c r="R8" s="124"/>
      <c r="S8" s="124"/>
    </row>
    <row r="9" spans="2:19" x14ac:dyDescent="0.2">
      <c r="B9" s="4" t="s">
        <v>25</v>
      </c>
      <c r="L9" s="124"/>
      <c r="M9" s="124"/>
      <c r="N9" s="124"/>
      <c r="O9" s="124"/>
      <c r="P9" s="124"/>
      <c r="Q9" s="124"/>
      <c r="R9" s="124"/>
      <c r="S9" s="124"/>
    </row>
    <row r="10" spans="2:19" x14ac:dyDescent="0.2">
      <c r="B10" s="29"/>
      <c r="C10" s="29"/>
      <c r="D10" s="30">
        <v>2025</v>
      </c>
      <c r="E10" s="30">
        <v>2024</v>
      </c>
      <c r="F10" s="30">
        <v>2023</v>
      </c>
      <c r="G10" s="29"/>
      <c r="H10" s="29"/>
      <c r="I10" s="29"/>
      <c r="L10" s="124"/>
      <c r="M10" s="124"/>
      <c r="N10" s="124"/>
      <c r="O10" s="124"/>
      <c r="P10" s="124"/>
      <c r="Q10" s="124"/>
      <c r="R10" s="124"/>
      <c r="S10" s="124"/>
    </row>
    <row r="11" spans="2:19" x14ac:dyDescent="0.2">
      <c r="B11" s="19"/>
      <c r="C11" s="19"/>
      <c r="D11" s="19"/>
      <c r="E11" s="19"/>
      <c r="F11" s="19"/>
      <c r="G11" s="19"/>
      <c r="H11" s="31" t="s">
        <v>26</v>
      </c>
      <c r="I11" s="31" t="s">
        <v>27</v>
      </c>
      <c r="L11" s="124"/>
      <c r="M11" s="124"/>
      <c r="N11" s="124"/>
      <c r="O11" s="124"/>
      <c r="P11" s="124"/>
      <c r="Q11" s="124"/>
      <c r="R11" s="124"/>
      <c r="S11" s="124"/>
    </row>
    <row r="12" spans="2:19" x14ac:dyDescent="0.2">
      <c r="B12" s="22" t="s">
        <v>18</v>
      </c>
      <c r="C12" s="23"/>
      <c r="D12" s="24">
        <v>94827</v>
      </c>
      <c r="E12" s="24">
        <v>97990</v>
      </c>
      <c r="F12" s="24">
        <v>96773</v>
      </c>
      <c r="G12" s="24"/>
      <c r="H12" s="33">
        <f>(D12-E12)/E12</f>
        <v>-3.227880395958771E-2</v>
      </c>
      <c r="I12" s="33">
        <f>D15/D12</f>
        <v>4.5925738450019508E-2</v>
      </c>
      <c r="L12" s="124"/>
      <c r="M12" s="124"/>
      <c r="N12" s="124"/>
      <c r="O12" s="124"/>
      <c r="P12" s="124"/>
      <c r="Q12" s="124"/>
      <c r="R12" s="124"/>
      <c r="S12" s="124"/>
    </row>
    <row r="13" spans="2:19" x14ac:dyDescent="0.2">
      <c r="B13" s="25" t="s">
        <v>19</v>
      </c>
      <c r="C13" s="26"/>
      <c r="D13" s="28">
        <v>69526</v>
      </c>
      <c r="E13" s="24">
        <v>77070</v>
      </c>
      <c r="F13" s="24">
        <v>82419</v>
      </c>
      <c r="G13" s="24"/>
      <c r="H13" s="33">
        <f t="shared" ref="H13:H18" si="0">(D13/E13)-1</f>
        <v>-9.7885039574412858E-2</v>
      </c>
      <c r="I13" s="33"/>
      <c r="L13" s="124"/>
      <c r="M13" s="124"/>
      <c r="N13" s="124"/>
      <c r="O13" s="124"/>
      <c r="P13" s="124"/>
      <c r="Q13" s="124"/>
      <c r="R13" s="124"/>
      <c r="S13" s="124"/>
    </row>
    <row r="14" spans="2:19" x14ac:dyDescent="0.2">
      <c r="B14" s="25" t="s">
        <v>20</v>
      </c>
      <c r="D14" s="17">
        <v>12771</v>
      </c>
      <c r="E14" s="24">
        <v>10086</v>
      </c>
      <c r="F14" s="24">
        <v>6035</v>
      </c>
      <c r="G14" s="24"/>
      <c r="H14" s="33">
        <f t="shared" si="0"/>
        <v>0.26621058893515759</v>
      </c>
      <c r="I14" s="33"/>
      <c r="L14" s="124"/>
      <c r="M14" s="124"/>
      <c r="N14" s="124"/>
      <c r="O14" s="124"/>
      <c r="P14" s="124"/>
      <c r="Q14" s="124"/>
      <c r="R14" s="124"/>
      <c r="S14" s="124"/>
    </row>
    <row r="15" spans="2:19" x14ac:dyDescent="0.2">
      <c r="B15" s="25" t="s">
        <v>21</v>
      </c>
      <c r="C15" s="26"/>
      <c r="D15" s="28">
        <v>4355</v>
      </c>
      <c r="E15" s="24">
        <v>7076</v>
      </c>
      <c r="F15" s="24">
        <v>8891</v>
      </c>
      <c r="G15" s="24"/>
      <c r="H15" s="33">
        <f t="shared" si="0"/>
        <v>-0.38453928773318258</v>
      </c>
      <c r="I15" s="33"/>
      <c r="L15" s="124"/>
      <c r="M15" s="124"/>
      <c r="N15" s="124"/>
      <c r="O15" s="124"/>
      <c r="P15" s="124"/>
      <c r="Q15" s="124"/>
      <c r="R15" s="124"/>
      <c r="S15" s="124"/>
    </row>
    <row r="16" spans="2:19" x14ac:dyDescent="0.2">
      <c r="B16" s="25" t="s">
        <v>22</v>
      </c>
      <c r="C16" s="26"/>
      <c r="D16" s="28">
        <v>3855</v>
      </c>
      <c r="E16" s="24">
        <v>7153</v>
      </c>
      <c r="F16" s="24">
        <v>14974</v>
      </c>
      <c r="G16" s="24"/>
      <c r="H16" s="33">
        <f t="shared" si="0"/>
        <v>-0.46106528729204532</v>
      </c>
      <c r="I16" s="33"/>
      <c r="L16" s="124"/>
      <c r="M16" s="124"/>
      <c r="N16" s="124"/>
      <c r="O16" s="124"/>
      <c r="P16" s="124"/>
      <c r="Q16" s="124"/>
      <c r="R16" s="124"/>
      <c r="S16" s="124"/>
    </row>
    <row r="17" spans="1:19" x14ac:dyDescent="0.2">
      <c r="B17" s="25" t="s">
        <v>23</v>
      </c>
      <c r="C17" s="26"/>
      <c r="D17" s="28">
        <v>14747</v>
      </c>
      <c r="E17" s="24">
        <v>14923</v>
      </c>
      <c r="F17" s="24">
        <v>13256</v>
      </c>
      <c r="G17" s="24"/>
      <c r="H17" s="33">
        <f t="shared" si="0"/>
        <v>-1.1793875226160933E-2</v>
      </c>
      <c r="I17" s="33"/>
      <c r="L17" s="124"/>
      <c r="M17" s="124"/>
      <c r="N17" s="124"/>
      <c r="O17" s="124"/>
      <c r="P17" s="124"/>
      <c r="Q17" s="124"/>
      <c r="R17" s="124"/>
      <c r="S17" s="124"/>
    </row>
    <row r="18" spans="1:19" x14ac:dyDescent="0.2">
      <c r="B18" s="25" t="s">
        <v>24</v>
      </c>
      <c r="C18" s="26"/>
      <c r="D18" s="28">
        <v>8527</v>
      </c>
      <c r="E18" s="24">
        <v>11342</v>
      </c>
      <c r="F18" s="24">
        <v>8899</v>
      </c>
      <c r="G18" s="24"/>
      <c r="H18" s="33">
        <f t="shared" si="0"/>
        <v>-0.24819255863163459</v>
      </c>
      <c r="I18" s="33"/>
      <c r="L18" s="124"/>
      <c r="M18" s="124"/>
      <c r="N18" s="124"/>
      <c r="O18" s="124"/>
      <c r="P18" s="124"/>
      <c r="Q18" s="124"/>
      <c r="R18" s="124"/>
      <c r="S18" s="124"/>
    </row>
    <row r="19" spans="1:19" x14ac:dyDescent="0.2">
      <c r="L19" s="124"/>
      <c r="M19" s="124"/>
      <c r="N19" s="124"/>
      <c r="O19" s="124"/>
      <c r="P19" s="124"/>
      <c r="Q19" s="124"/>
      <c r="R19" s="124"/>
      <c r="S19" s="124"/>
    </row>
    <row r="20" spans="1:19" x14ac:dyDescent="0.2">
      <c r="L20" s="124"/>
      <c r="M20" s="124"/>
      <c r="N20" s="124"/>
      <c r="O20" s="124"/>
      <c r="P20" s="124"/>
      <c r="Q20" s="124"/>
      <c r="R20" s="124"/>
      <c r="S20" s="124"/>
    </row>
    <row r="21" spans="1:19" x14ac:dyDescent="0.2">
      <c r="L21" s="124"/>
      <c r="M21" s="124"/>
      <c r="N21" s="124"/>
      <c r="O21" s="124"/>
      <c r="P21" s="124"/>
      <c r="Q21" s="124"/>
      <c r="R21" s="124"/>
      <c r="S21" s="124"/>
    </row>
    <row r="23" spans="1:19" x14ac:dyDescent="0.2">
      <c r="A23" t="s">
        <v>31</v>
      </c>
      <c r="H23" s="36"/>
      <c r="I23" s="36"/>
      <c r="N23" s="122" t="s">
        <v>29</v>
      </c>
      <c r="O23" s="122"/>
      <c r="P23" s="122"/>
      <c r="Q23" s="122"/>
    </row>
    <row r="26" spans="1:19" ht="16" customHeight="1" x14ac:dyDescent="0.2">
      <c r="L26" s="128" t="s">
        <v>40</v>
      </c>
      <c r="M26" s="128"/>
      <c r="N26" s="128"/>
      <c r="O26" s="128"/>
      <c r="P26" s="128"/>
      <c r="Q26" s="128"/>
      <c r="R26" s="128"/>
      <c r="S26" s="128"/>
    </row>
    <row r="27" spans="1:19" x14ac:dyDescent="0.2">
      <c r="L27" s="128"/>
      <c r="M27" s="128"/>
      <c r="N27" s="128"/>
      <c r="O27" s="128"/>
      <c r="P27" s="128"/>
      <c r="Q27" s="128"/>
      <c r="R27" s="128"/>
      <c r="S27" s="128"/>
    </row>
    <row r="28" spans="1:19" x14ac:dyDescent="0.2">
      <c r="L28" s="128"/>
      <c r="M28" s="128"/>
      <c r="N28" s="128"/>
      <c r="O28" s="128"/>
      <c r="P28" s="128"/>
      <c r="Q28" s="128"/>
      <c r="R28" s="128"/>
      <c r="S28" s="128"/>
    </row>
    <row r="29" spans="1:19" x14ac:dyDescent="0.2">
      <c r="L29" s="128"/>
      <c r="M29" s="128"/>
      <c r="N29" s="128"/>
      <c r="O29" s="128"/>
      <c r="P29" s="128"/>
      <c r="Q29" s="128"/>
      <c r="R29" s="128"/>
      <c r="S29" s="128"/>
    </row>
    <row r="30" spans="1:19" x14ac:dyDescent="0.2">
      <c r="L30" s="128"/>
      <c r="M30" s="128"/>
      <c r="N30" s="128"/>
      <c r="O30" s="128"/>
      <c r="P30" s="128"/>
      <c r="Q30" s="128"/>
      <c r="R30" s="128"/>
      <c r="S30" s="128"/>
    </row>
    <row r="31" spans="1:19" x14ac:dyDescent="0.2">
      <c r="L31" s="128"/>
      <c r="M31" s="128"/>
      <c r="N31" s="128"/>
      <c r="O31" s="128"/>
      <c r="P31" s="128"/>
      <c r="Q31" s="128"/>
      <c r="R31" s="128"/>
      <c r="S31" s="128"/>
    </row>
    <row r="32" spans="1:19" x14ac:dyDescent="0.2">
      <c r="B32" s="125" t="s">
        <v>32</v>
      </c>
      <c r="C32" s="126"/>
      <c r="D32" s="126"/>
      <c r="E32" s="126"/>
      <c r="F32" s="126"/>
      <c r="G32" s="127"/>
      <c r="L32" s="128"/>
      <c r="M32" s="128"/>
      <c r="N32" s="128"/>
      <c r="O32" s="128"/>
      <c r="P32" s="128"/>
      <c r="Q32" s="128"/>
      <c r="R32" s="128"/>
      <c r="S32" s="128"/>
    </row>
    <row r="33" spans="2:19" ht="16" customHeight="1" x14ac:dyDescent="0.2">
      <c r="B33" s="39"/>
      <c r="C33" s="40"/>
      <c r="D33" s="40">
        <v>2025</v>
      </c>
      <c r="E33" s="40">
        <v>2024</v>
      </c>
      <c r="F33" s="40">
        <v>2023</v>
      </c>
      <c r="G33" s="41"/>
      <c r="L33" s="128"/>
      <c r="M33" s="128"/>
      <c r="N33" s="128"/>
      <c r="O33" s="128"/>
      <c r="P33" s="128"/>
      <c r="Q33" s="128"/>
      <c r="R33" s="128"/>
      <c r="S33" s="128"/>
    </row>
    <row r="34" spans="2:19" x14ac:dyDescent="0.2">
      <c r="B34" s="20" t="s">
        <v>33</v>
      </c>
      <c r="D34" s="17">
        <v>69559</v>
      </c>
      <c r="E34" s="17">
        <v>77070</v>
      </c>
      <c r="F34" s="17">
        <v>82419</v>
      </c>
      <c r="G34" s="34"/>
      <c r="L34" s="128"/>
      <c r="M34" s="128"/>
      <c r="N34" s="128"/>
      <c r="O34" s="128"/>
      <c r="P34" s="128"/>
      <c r="Q34" s="128"/>
      <c r="R34" s="128"/>
      <c r="S34" s="128"/>
    </row>
    <row r="35" spans="2:19" x14ac:dyDescent="0.2">
      <c r="B35" s="25" t="s">
        <v>34</v>
      </c>
      <c r="C35" s="26"/>
      <c r="D35" s="27">
        <v>12771</v>
      </c>
      <c r="E35" s="27">
        <v>10086</v>
      </c>
      <c r="F35" s="27">
        <v>6035</v>
      </c>
      <c r="G35" s="37"/>
      <c r="L35" s="128"/>
      <c r="M35" s="128"/>
      <c r="N35" s="128"/>
      <c r="O35" s="128"/>
      <c r="P35" s="128"/>
      <c r="Q35" s="128"/>
      <c r="R35" s="128"/>
      <c r="S35" s="128"/>
    </row>
    <row r="36" spans="2:19" x14ac:dyDescent="0.2">
      <c r="B36" s="25" t="s">
        <v>35</v>
      </c>
      <c r="C36" s="26"/>
      <c r="D36" s="27">
        <v>12530</v>
      </c>
      <c r="E36" s="27">
        <v>10534</v>
      </c>
      <c r="F36" s="27">
        <v>8319</v>
      </c>
      <c r="G36" s="37"/>
      <c r="L36" s="128"/>
      <c r="M36" s="128"/>
      <c r="N36" s="128"/>
      <c r="O36" s="128"/>
      <c r="P36" s="128"/>
      <c r="Q36" s="128"/>
      <c r="R36" s="128"/>
      <c r="S36" s="128"/>
    </row>
    <row r="37" spans="2:19" x14ac:dyDescent="0.2">
      <c r="B37" s="25" t="s">
        <v>36</v>
      </c>
      <c r="C37" s="26"/>
      <c r="D37" s="27">
        <v>94827</v>
      </c>
      <c r="E37" s="27">
        <v>97690</v>
      </c>
      <c r="F37" s="27">
        <v>96773</v>
      </c>
      <c r="G37" s="37"/>
      <c r="L37" s="128"/>
      <c r="M37" s="128"/>
      <c r="N37" s="128"/>
      <c r="O37" s="128"/>
      <c r="P37" s="128"/>
      <c r="Q37" s="128"/>
      <c r="R37" s="128"/>
      <c r="S37" s="128"/>
    </row>
    <row r="38" spans="2:19" x14ac:dyDescent="0.2">
      <c r="B38" s="25" t="s">
        <v>37</v>
      </c>
      <c r="C38" s="26"/>
      <c r="D38" s="42">
        <f>D34/D37</f>
        <v>0.73353580731226342</v>
      </c>
      <c r="E38" s="42">
        <f>E34/E37</f>
        <v>0.78892414781451525</v>
      </c>
      <c r="F38" s="42">
        <f>F34/F37</f>
        <v>0.85167350397321562</v>
      </c>
      <c r="G38" s="37"/>
      <c r="L38" s="128"/>
      <c r="M38" s="128"/>
      <c r="N38" s="128"/>
      <c r="O38" s="128"/>
      <c r="P38" s="128"/>
      <c r="Q38" s="128"/>
      <c r="R38" s="128"/>
      <c r="S38" s="128"/>
    </row>
    <row r="39" spans="2:19" x14ac:dyDescent="0.2">
      <c r="B39" s="25" t="s">
        <v>38</v>
      </c>
      <c r="C39" s="26"/>
      <c r="D39" s="42">
        <f>D35/D37</f>
        <v>0.13467683254769211</v>
      </c>
      <c r="E39" s="42">
        <f>E35/E37</f>
        <v>0.10324495854232778</v>
      </c>
      <c r="F39" s="42">
        <f>F35/F37</f>
        <v>6.2362435803374909E-2</v>
      </c>
      <c r="G39" s="37"/>
      <c r="L39" s="128"/>
      <c r="M39" s="128"/>
      <c r="N39" s="128"/>
      <c r="O39" s="128"/>
      <c r="P39" s="128"/>
      <c r="Q39" s="128"/>
      <c r="R39" s="128"/>
      <c r="S39" s="128"/>
    </row>
    <row r="40" spans="2:19" x14ac:dyDescent="0.2">
      <c r="B40" s="25" t="s">
        <v>39</v>
      </c>
      <c r="C40" s="26"/>
      <c r="D40" s="42">
        <f>D36/D37</f>
        <v>0.13213536229133052</v>
      </c>
      <c r="E40" s="42">
        <f>E36/E37</f>
        <v>0.10783089364315693</v>
      </c>
      <c r="F40" s="42">
        <f>F36/F37</f>
        <v>8.5964060223409425E-2</v>
      </c>
      <c r="G40" s="37"/>
      <c r="L40" s="128"/>
      <c r="M40" s="128"/>
      <c r="N40" s="128"/>
      <c r="O40" s="128"/>
      <c r="P40" s="128"/>
      <c r="Q40" s="128"/>
      <c r="R40" s="128"/>
      <c r="S40" s="128"/>
    </row>
    <row r="41" spans="2:19" x14ac:dyDescent="0.2">
      <c r="B41" s="48"/>
      <c r="C41" s="48"/>
      <c r="D41" s="48"/>
      <c r="E41" s="48"/>
      <c r="F41" s="48"/>
      <c r="G41" s="48"/>
      <c r="L41" s="128"/>
      <c r="M41" s="128"/>
      <c r="N41" s="128"/>
      <c r="O41" s="128"/>
      <c r="P41" s="128"/>
      <c r="Q41" s="128"/>
      <c r="R41" s="128"/>
      <c r="S41" s="128"/>
    </row>
    <row r="42" spans="2:19" x14ac:dyDescent="0.2">
      <c r="B42" s="48"/>
      <c r="C42" s="48"/>
      <c r="D42" s="48"/>
      <c r="E42" s="48"/>
      <c r="F42" s="48"/>
      <c r="G42" s="48"/>
      <c r="L42" s="128"/>
      <c r="M42" s="128"/>
      <c r="N42" s="128"/>
      <c r="O42" s="128"/>
      <c r="P42" s="128"/>
      <c r="Q42" s="128"/>
      <c r="R42" s="128"/>
      <c r="S42" s="128"/>
    </row>
    <row r="43" spans="2:19" x14ac:dyDescent="0.2">
      <c r="B43" s="48"/>
      <c r="C43" s="48"/>
      <c r="D43" s="48"/>
      <c r="E43" s="48"/>
      <c r="F43" s="48"/>
      <c r="G43" s="48"/>
      <c r="L43" s="128"/>
      <c r="M43" s="128"/>
      <c r="N43" s="128"/>
      <c r="O43" s="128"/>
      <c r="P43" s="128"/>
      <c r="Q43" s="128"/>
      <c r="R43" s="128"/>
      <c r="S43" s="128"/>
    </row>
    <row r="44" spans="2:19" x14ac:dyDescent="0.2">
      <c r="B44" s="48"/>
      <c r="C44" s="48"/>
      <c r="D44" s="48"/>
      <c r="E44" s="48"/>
      <c r="F44" s="48"/>
      <c r="G44" s="48"/>
      <c r="L44" s="128"/>
      <c r="M44" s="128"/>
      <c r="N44" s="128"/>
      <c r="O44" s="128"/>
      <c r="P44" s="128"/>
      <c r="Q44" s="128"/>
      <c r="R44" s="128"/>
      <c r="S44" s="128"/>
    </row>
    <row r="45" spans="2:19" x14ac:dyDescent="0.2">
      <c r="B45" s="48"/>
      <c r="C45" s="48"/>
      <c r="D45" s="48"/>
      <c r="E45" s="48"/>
      <c r="F45" s="48"/>
      <c r="G45" s="48"/>
    </row>
    <row r="46" spans="2:19" x14ac:dyDescent="0.2">
      <c r="B46" s="48"/>
      <c r="C46" s="48"/>
      <c r="D46" s="48"/>
      <c r="E46" s="48"/>
      <c r="F46" s="48"/>
      <c r="G46" s="48"/>
      <c r="N46" s="122" t="s">
        <v>29</v>
      </c>
      <c r="O46" s="122"/>
      <c r="P46" s="122"/>
      <c r="Q46" s="122"/>
    </row>
    <row r="47" spans="2:19" x14ac:dyDescent="0.2">
      <c r="B47" s="48"/>
      <c r="C47" s="48"/>
      <c r="D47" s="48"/>
      <c r="E47" s="48"/>
      <c r="F47" s="48"/>
      <c r="G47" s="48"/>
    </row>
    <row r="48" spans="2:19" ht="16" customHeight="1" x14ac:dyDescent="0.2">
      <c r="G48" s="4"/>
      <c r="L48" s="128" t="s">
        <v>47</v>
      </c>
      <c r="M48" s="128"/>
      <c r="N48" s="128"/>
      <c r="O48" s="128"/>
      <c r="P48" s="128"/>
      <c r="Q48" s="128"/>
      <c r="R48" s="128"/>
      <c r="S48" s="128"/>
    </row>
    <row r="49" spans="2:19" x14ac:dyDescent="0.2">
      <c r="G49" s="4"/>
      <c r="L49" s="128"/>
      <c r="M49" s="128"/>
      <c r="N49" s="128"/>
      <c r="O49" s="128"/>
      <c r="P49" s="128"/>
      <c r="Q49" s="128"/>
      <c r="R49" s="128"/>
      <c r="S49" s="128"/>
    </row>
    <row r="50" spans="2:19" x14ac:dyDescent="0.2">
      <c r="L50" s="128"/>
      <c r="M50" s="128"/>
      <c r="N50" s="128"/>
      <c r="O50" s="128"/>
      <c r="P50" s="128"/>
      <c r="Q50" s="128"/>
      <c r="R50" s="128"/>
      <c r="S50" s="128"/>
    </row>
    <row r="51" spans="2:19" x14ac:dyDescent="0.2">
      <c r="L51" s="128"/>
      <c r="M51" s="128"/>
      <c r="N51" s="128"/>
      <c r="O51" s="128"/>
      <c r="P51" s="128"/>
      <c r="Q51" s="128"/>
      <c r="R51" s="128"/>
      <c r="S51" s="128"/>
    </row>
    <row r="52" spans="2:19" x14ac:dyDescent="0.2">
      <c r="L52" s="128"/>
      <c r="M52" s="128"/>
      <c r="N52" s="128"/>
      <c r="O52" s="128"/>
      <c r="P52" s="128"/>
      <c r="Q52" s="128"/>
      <c r="R52" s="128"/>
      <c r="S52" s="128"/>
    </row>
    <row r="53" spans="2:19" x14ac:dyDescent="0.2">
      <c r="L53" s="128"/>
      <c r="M53" s="128"/>
      <c r="N53" s="128"/>
      <c r="O53" s="128"/>
      <c r="P53" s="128"/>
      <c r="Q53" s="128"/>
      <c r="R53" s="128"/>
      <c r="S53" s="128"/>
    </row>
    <row r="54" spans="2:19" x14ac:dyDescent="0.2">
      <c r="L54" s="128"/>
      <c r="M54" s="128"/>
      <c r="N54" s="128"/>
      <c r="O54" s="128"/>
      <c r="P54" s="128"/>
      <c r="Q54" s="128"/>
      <c r="R54" s="128"/>
      <c r="S54" s="128"/>
    </row>
    <row r="55" spans="2:19" x14ac:dyDescent="0.2">
      <c r="B55" s="45" t="s">
        <v>41</v>
      </c>
      <c r="C55" s="46"/>
      <c r="D55" s="46"/>
      <c r="E55" s="46"/>
      <c r="F55" s="47"/>
      <c r="L55" s="128"/>
      <c r="M55" s="128"/>
      <c r="N55" s="128"/>
      <c r="O55" s="128"/>
      <c r="P55" s="128"/>
      <c r="Q55" s="128"/>
      <c r="R55" s="128"/>
      <c r="S55" s="128"/>
    </row>
    <row r="56" spans="2:19" ht="17" thickBot="1" x14ac:dyDescent="0.25">
      <c r="B56" s="43" t="s">
        <v>42</v>
      </c>
      <c r="C56" s="126" t="s">
        <v>43</v>
      </c>
      <c r="D56" s="126"/>
      <c r="E56" s="126" t="s">
        <v>44</v>
      </c>
      <c r="F56" s="127"/>
      <c r="L56" s="128"/>
      <c r="M56" s="128"/>
      <c r="N56" s="128"/>
      <c r="O56" s="128"/>
      <c r="P56" s="128"/>
      <c r="Q56" s="128"/>
      <c r="R56" s="128"/>
      <c r="S56" s="128"/>
    </row>
    <row r="57" spans="2:19" x14ac:dyDescent="0.2">
      <c r="B57" s="20" t="s">
        <v>45</v>
      </c>
      <c r="C57" s="129">
        <f>(D34/E34)-1</f>
        <v>-9.7456857402361541E-2</v>
      </c>
      <c r="D57" s="130"/>
      <c r="E57" s="129">
        <f>(E34/F34)-1</f>
        <v>-6.4900083718560042E-2</v>
      </c>
      <c r="F57" s="130"/>
      <c r="L57" s="128"/>
      <c r="M57" s="128"/>
      <c r="N57" s="128"/>
      <c r="O57" s="128"/>
      <c r="P57" s="128"/>
      <c r="Q57" s="128"/>
      <c r="R57" s="128"/>
      <c r="S57" s="128"/>
    </row>
    <row r="58" spans="2:19" x14ac:dyDescent="0.2">
      <c r="B58" s="20" t="s">
        <v>46</v>
      </c>
      <c r="C58" s="129">
        <f>(D35/E35)-1</f>
        <v>0.26621058893515759</v>
      </c>
      <c r="D58" s="130"/>
      <c r="E58" s="129">
        <f>(E35/F35)-1</f>
        <v>0.67125103562551791</v>
      </c>
      <c r="F58" s="130"/>
      <c r="L58" s="128"/>
      <c r="M58" s="128"/>
      <c r="N58" s="128"/>
      <c r="O58" s="128"/>
      <c r="P58" s="128"/>
      <c r="Q58" s="128"/>
      <c r="R58" s="128"/>
      <c r="S58" s="128"/>
    </row>
    <row r="59" spans="2:19" x14ac:dyDescent="0.2">
      <c r="B59" s="20" t="s">
        <v>35</v>
      </c>
      <c r="C59" s="129">
        <f>(D36/E36)-1</f>
        <v>0.18948167837478636</v>
      </c>
      <c r="D59" s="130"/>
      <c r="E59" s="129">
        <f>(E36/F36)-1</f>
        <v>0.26625796369755972</v>
      </c>
      <c r="F59" s="130"/>
      <c r="L59" s="128"/>
      <c r="M59" s="128"/>
      <c r="N59" s="128"/>
      <c r="O59" s="128"/>
      <c r="P59" s="128"/>
      <c r="Q59" s="128"/>
      <c r="R59" s="128"/>
      <c r="S59" s="128"/>
    </row>
    <row r="60" spans="2:19" x14ac:dyDescent="0.2">
      <c r="B60" s="22" t="s">
        <v>36</v>
      </c>
      <c r="C60" s="131">
        <f>(D37/E37)-1</f>
        <v>-2.9306991503736279E-2</v>
      </c>
      <c r="D60" s="132"/>
      <c r="E60" s="131">
        <f>(E37/F37)-1</f>
        <v>9.4757835346634955E-3</v>
      </c>
      <c r="F60" s="132"/>
      <c r="L60" s="128"/>
      <c r="M60" s="128"/>
      <c r="N60" s="128"/>
      <c r="O60" s="128"/>
      <c r="P60" s="128"/>
      <c r="Q60" s="128"/>
      <c r="R60" s="128"/>
      <c r="S60" s="128"/>
    </row>
    <row r="61" spans="2:19" x14ac:dyDescent="0.2">
      <c r="B61" s="4"/>
      <c r="D61" s="44"/>
      <c r="E61" s="133"/>
      <c r="F61" s="133"/>
      <c r="L61" s="128"/>
      <c r="M61" s="128"/>
      <c r="N61" s="128"/>
      <c r="O61" s="128"/>
      <c r="P61" s="128"/>
      <c r="Q61" s="128"/>
      <c r="R61" s="128"/>
      <c r="S61" s="128"/>
    </row>
    <row r="62" spans="2:19" ht="16" customHeight="1" x14ac:dyDescent="0.2">
      <c r="B62" s="48"/>
      <c r="C62" s="48"/>
      <c r="D62" s="48"/>
      <c r="E62" s="48"/>
      <c r="F62" s="48"/>
      <c r="G62" s="48"/>
      <c r="L62" s="128"/>
      <c r="M62" s="128"/>
      <c r="N62" s="128"/>
      <c r="O62" s="128"/>
      <c r="P62" s="128"/>
      <c r="Q62" s="128"/>
      <c r="R62" s="128"/>
      <c r="S62" s="128"/>
    </row>
    <row r="63" spans="2:19" x14ac:dyDescent="0.2">
      <c r="B63" s="48"/>
      <c r="C63" s="48"/>
      <c r="D63" s="48"/>
      <c r="E63" s="48"/>
      <c r="F63" s="48"/>
      <c r="G63" s="48"/>
      <c r="L63" s="128"/>
      <c r="M63" s="128"/>
      <c r="N63" s="128"/>
      <c r="O63" s="128"/>
      <c r="P63" s="128"/>
      <c r="Q63" s="128"/>
      <c r="R63" s="128"/>
      <c r="S63" s="128"/>
    </row>
    <row r="64" spans="2:19" x14ac:dyDescent="0.2">
      <c r="B64" s="48"/>
      <c r="C64" s="48"/>
      <c r="D64" s="48"/>
      <c r="E64" s="48"/>
      <c r="F64" s="48"/>
      <c r="G64" s="48"/>
      <c r="L64" s="128"/>
      <c r="M64" s="128"/>
      <c r="N64" s="128"/>
      <c r="O64" s="128"/>
      <c r="P64" s="128"/>
      <c r="Q64" s="128"/>
      <c r="R64" s="128"/>
      <c r="S64" s="128"/>
    </row>
    <row r="65" spans="2:19" x14ac:dyDescent="0.2">
      <c r="B65" s="48"/>
      <c r="C65" s="48"/>
      <c r="D65" s="48"/>
      <c r="E65" s="48"/>
      <c r="F65" s="48"/>
      <c r="G65" s="48"/>
      <c r="L65" s="128"/>
      <c r="M65" s="128"/>
      <c r="N65" s="128"/>
      <c r="O65" s="128"/>
      <c r="P65" s="128"/>
      <c r="Q65" s="128"/>
      <c r="R65" s="128"/>
      <c r="S65" s="128"/>
    </row>
    <row r="66" spans="2:19" x14ac:dyDescent="0.2">
      <c r="B66" s="48"/>
      <c r="C66" s="48"/>
      <c r="D66" s="48"/>
      <c r="E66" s="48"/>
      <c r="F66" s="48"/>
      <c r="G66" s="48"/>
      <c r="L66" s="128"/>
      <c r="M66" s="128"/>
      <c r="N66" s="128"/>
      <c r="O66" s="128"/>
      <c r="P66" s="128"/>
      <c r="Q66" s="128"/>
      <c r="R66" s="128"/>
      <c r="S66" s="128"/>
    </row>
    <row r="67" spans="2:19" x14ac:dyDescent="0.2">
      <c r="B67" s="48"/>
      <c r="C67" s="48"/>
      <c r="D67" s="48"/>
      <c r="E67" s="48"/>
      <c r="F67" s="48"/>
      <c r="G67" s="48"/>
    </row>
    <row r="68" spans="2:19" x14ac:dyDescent="0.2">
      <c r="B68" s="48"/>
      <c r="C68" s="48"/>
      <c r="D68" s="48"/>
      <c r="E68" s="48"/>
      <c r="F68" s="48"/>
      <c r="G68" s="48"/>
      <c r="N68" s="135" t="s">
        <v>29</v>
      </c>
      <c r="O68" s="135"/>
      <c r="P68" s="135"/>
      <c r="Q68" s="135"/>
    </row>
    <row r="69" spans="2:19" x14ac:dyDescent="0.2">
      <c r="B69" s="48"/>
      <c r="C69" s="48"/>
      <c r="D69" s="48"/>
      <c r="E69" s="48"/>
      <c r="F69" s="48"/>
      <c r="G69" s="48"/>
    </row>
    <row r="70" spans="2:19" x14ac:dyDescent="0.2">
      <c r="B70" s="48"/>
      <c r="C70" s="48"/>
      <c r="D70" s="48"/>
      <c r="E70" s="48"/>
      <c r="F70" s="48"/>
      <c r="G70" s="48"/>
    </row>
    <row r="71" spans="2:19" x14ac:dyDescent="0.2">
      <c r="B71" s="48"/>
      <c r="C71" s="48"/>
      <c r="D71" s="48"/>
      <c r="E71" s="48"/>
      <c r="F71" s="48"/>
      <c r="G71" s="48"/>
    </row>
    <row r="72" spans="2:19" x14ac:dyDescent="0.2">
      <c r="B72" s="4"/>
      <c r="G72" s="48"/>
    </row>
    <row r="73" spans="2:19" x14ac:dyDescent="0.2">
      <c r="G73" s="48"/>
      <c r="L73" s="128" t="s">
        <v>54</v>
      </c>
      <c r="M73" s="128"/>
      <c r="N73" s="128"/>
      <c r="O73" s="128"/>
      <c r="P73" s="128"/>
      <c r="Q73" s="128"/>
      <c r="R73" s="128"/>
      <c r="S73" s="128"/>
    </row>
    <row r="74" spans="2:19" ht="16" customHeight="1" x14ac:dyDescent="0.2">
      <c r="G74" s="48"/>
      <c r="L74" s="128"/>
      <c r="M74" s="128"/>
      <c r="N74" s="128"/>
      <c r="O74" s="128"/>
      <c r="P74" s="128"/>
      <c r="Q74" s="128"/>
      <c r="R74" s="128"/>
      <c r="S74" s="128"/>
    </row>
    <row r="75" spans="2:19" x14ac:dyDescent="0.2">
      <c r="G75" s="48"/>
      <c r="L75" s="128"/>
      <c r="M75" s="128"/>
      <c r="N75" s="128"/>
      <c r="O75" s="128"/>
      <c r="P75" s="128"/>
      <c r="Q75" s="128"/>
      <c r="R75" s="128"/>
      <c r="S75" s="128"/>
    </row>
    <row r="76" spans="2:19" x14ac:dyDescent="0.2">
      <c r="G76" s="48"/>
      <c r="L76" s="128"/>
      <c r="M76" s="128"/>
      <c r="N76" s="128"/>
      <c r="O76" s="128"/>
      <c r="P76" s="128"/>
      <c r="Q76" s="128"/>
      <c r="R76" s="128"/>
      <c r="S76" s="128"/>
    </row>
    <row r="77" spans="2:19" x14ac:dyDescent="0.2">
      <c r="G77" s="48"/>
      <c r="L77" s="128"/>
      <c r="M77" s="128"/>
      <c r="N77" s="128"/>
      <c r="O77" s="128"/>
      <c r="P77" s="128"/>
      <c r="Q77" s="128"/>
      <c r="R77" s="128"/>
      <c r="S77" s="128"/>
    </row>
    <row r="78" spans="2:19" x14ac:dyDescent="0.2">
      <c r="G78" s="48"/>
      <c r="L78" s="128"/>
      <c r="M78" s="128"/>
      <c r="N78" s="128"/>
      <c r="O78" s="128"/>
      <c r="P78" s="128"/>
      <c r="Q78" s="128"/>
      <c r="R78" s="128"/>
      <c r="S78" s="128"/>
    </row>
    <row r="79" spans="2:19" x14ac:dyDescent="0.2">
      <c r="G79" s="48"/>
      <c r="L79" s="128"/>
      <c r="M79" s="128"/>
      <c r="N79" s="128"/>
      <c r="O79" s="128"/>
      <c r="P79" s="128"/>
      <c r="Q79" s="128"/>
      <c r="R79" s="128"/>
      <c r="S79" s="128"/>
    </row>
    <row r="80" spans="2:19" x14ac:dyDescent="0.2">
      <c r="B80" s="30" t="s">
        <v>48</v>
      </c>
      <c r="C80" s="29"/>
      <c r="D80" s="30">
        <v>2025</v>
      </c>
      <c r="E80" s="30">
        <v>2024</v>
      </c>
      <c r="F80" s="30">
        <v>2023</v>
      </c>
      <c r="G80" s="48"/>
      <c r="L80" s="128"/>
      <c r="M80" s="128"/>
      <c r="N80" s="128"/>
      <c r="O80" s="128"/>
      <c r="P80" s="128"/>
      <c r="Q80" s="128"/>
      <c r="R80" s="128"/>
      <c r="S80" s="128"/>
    </row>
    <row r="81" spans="2:19" x14ac:dyDescent="0.2">
      <c r="B81" s="19"/>
      <c r="C81" s="19"/>
      <c r="D81" s="19"/>
      <c r="E81" s="19"/>
      <c r="F81" s="19"/>
      <c r="L81" s="128"/>
      <c r="M81" s="128"/>
      <c r="N81" s="128"/>
      <c r="O81" s="128"/>
      <c r="P81" s="128"/>
      <c r="Q81" s="128"/>
      <c r="R81" s="128"/>
      <c r="S81" s="128"/>
    </row>
    <row r="82" spans="2:19" x14ac:dyDescent="0.2">
      <c r="B82" s="22" t="s">
        <v>49</v>
      </c>
      <c r="C82" s="23"/>
      <c r="D82" s="24">
        <v>17094</v>
      </c>
      <c r="E82" s="24">
        <v>17450</v>
      </c>
      <c r="F82" s="24">
        <v>17660</v>
      </c>
      <c r="L82" s="128"/>
      <c r="M82" s="128"/>
      <c r="N82" s="128"/>
      <c r="O82" s="128"/>
      <c r="P82" s="128"/>
      <c r="Q82" s="128"/>
      <c r="R82" s="128"/>
      <c r="S82" s="128"/>
    </row>
    <row r="83" spans="2:19" x14ac:dyDescent="0.2">
      <c r="B83" s="25" t="s">
        <v>50</v>
      </c>
      <c r="C83" s="26"/>
      <c r="D83" s="38">
        <f>D82/D12</f>
        <v>0.18026511436616155</v>
      </c>
      <c r="E83" s="38">
        <f>E82/E12</f>
        <v>0.17807939585672009</v>
      </c>
      <c r="F83" s="38">
        <f>F82/F12</f>
        <v>0.18248891736331416</v>
      </c>
      <c r="L83" s="128"/>
      <c r="M83" s="128"/>
      <c r="N83" s="128"/>
      <c r="O83" s="128"/>
      <c r="P83" s="128"/>
      <c r="Q83" s="128"/>
      <c r="R83" s="128"/>
      <c r="S83" s="128"/>
    </row>
    <row r="84" spans="2:19" x14ac:dyDescent="0.2">
      <c r="B84" s="25" t="s">
        <v>51</v>
      </c>
      <c r="D84" s="17">
        <v>4355</v>
      </c>
      <c r="E84" s="24">
        <v>7076</v>
      </c>
      <c r="F84" s="24">
        <v>8891</v>
      </c>
      <c r="L84" s="128"/>
      <c r="M84" s="128"/>
      <c r="N84" s="128"/>
      <c r="O84" s="128"/>
      <c r="P84" s="128"/>
      <c r="Q84" s="128"/>
      <c r="R84" s="128"/>
      <c r="S84" s="128"/>
    </row>
    <row r="85" spans="2:19" x14ac:dyDescent="0.2">
      <c r="B85" s="25" t="s">
        <v>52</v>
      </c>
      <c r="C85" s="26"/>
      <c r="D85" s="38">
        <f>D84/D12</f>
        <v>4.5925738450019508E-2</v>
      </c>
      <c r="E85" s="38">
        <f>E84/E12</f>
        <v>7.2211450147974282E-2</v>
      </c>
      <c r="F85" s="38">
        <f>F84/F12</f>
        <v>9.1874799789197395E-2</v>
      </c>
      <c r="L85" s="128"/>
      <c r="M85" s="128"/>
      <c r="N85" s="128"/>
      <c r="O85" s="128"/>
      <c r="P85" s="128"/>
      <c r="Q85" s="128"/>
      <c r="R85" s="128"/>
      <c r="S85" s="128"/>
    </row>
    <row r="86" spans="2:19" x14ac:dyDescent="0.2">
      <c r="B86" s="25" t="s">
        <v>22</v>
      </c>
      <c r="C86" s="26"/>
      <c r="D86" s="28">
        <f>3855</f>
        <v>3855</v>
      </c>
      <c r="E86" s="24">
        <v>7153</v>
      </c>
      <c r="F86" s="24">
        <v>14974</v>
      </c>
      <c r="L86" s="128"/>
      <c r="M86" s="128"/>
      <c r="N86" s="128"/>
      <c r="O86" s="128"/>
      <c r="P86" s="128"/>
      <c r="Q86" s="128"/>
      <c r="R86" s="128"/>
      <c r="S86" s="128"/>
    </row>
    <row r="87" spans="2:19" x14ac:dyDescent="0.2">
      <c r="B87" s="25" t="s">
        <v>53</v>
      </c>
      <c r="C87" s="26"/>
      <c r="D87" s="38">
        <f>D86/D12</f>
        <v>4.0652978582049415E-2</v>
      </c>
      <c r="E87" s="38">
        <f>E86/E12</f>
        <v>7.299724461679763E-2</v>
      </c>
      <c r="F87" s="38">
        <f>F86/F12</f>
        <v>0.1547332417099811</v>
      </c>
      <c r="L87" s="128"/>
      <c r="M87" s="128"/>
      <c r="N87" s="128"/>
      <c r="O87" s="128"/>
      <c r="P87" s="128"/>
      <c r="Q87" s="128"/>
      <c r="R87" s="128"/>
      <c r="S87" s="128"/>
    </row>
    <row r="88" spans="2:19" x14ac:dyDescent="0.2">
      <c r="L88" s="128"/>
      <c r="M88" s="128"/>
      <c r="N88" s="128"/>
      <c r="O88" s="128"/>
      <c r="P88" s="128"/>
      <c r="Q88" s="128"/>
      <c r="R88" s="128"/>
      <c r="S88" s="128"/>
    </row>
    <row r="89" spans="2:19" x14ac:dyDescent="0.2">
      <c r="L89" s="128"/>
      <c r="M89" s="128"/>
      <c r="N89" s="128"/>
      <c r="O89" s="128"/>
      <c r="P89" s="128"/>
      <c r="Q89" s="128"/>
      <c r="R89" s="128"/>
      <c r="S89" s="128"/>
    </row>
    <row r="90" spans="2:19" x14ac:dyDescent="0.2">
      <c r="L90" s="128"/>
      <c r="M90" s="128"/>
      <c r="N90" s="128"/>
      <c r="O90" s="128"/>
      <c r="P90" s="128"/>
      <c r="Q90" s="128"/>
      <c r="R90" s="128"/>
      <c r="S90" s="128"/>
    </row>
    <row r="91" spans="2:19" x14ac:dyDescent="0.2">
      <c r="L91" s="128"/>
      <c r="M91" s="128"/>
      <c r="N91" s="128"/>
      <c r="O91" s="128"/>
      <c r="P91" s="128"/>
      <c r="Q91" s="128"/>
      <c r="R91" s="128"/>
      <c r="S91" s="128"/>
    </row>
    <row r="94" spans="2:19" x14ac:dyDescent="0.2">
      <c r="L94" s="128" t="s">
        <v>61</v>
      </c>
      <c r="M94" s="128"/>
      <c r="N94" s="128"/>
      <c r="O94" s="128"/>
      <c r="P94" s="128"/>
      <c r="Q94" s="128"/>
      <c r="R94" s="128"/>
      <c r="S94" s="128"/>
    </row>
    <row r="95" spans="2:19" x14ac:dyDescent="0.2">
      <c r="L95" s="128"/>
      <c r="M95" s="128"/>
      <c r="N95" s="128"/>
      <c r="O95" s="128"/>
      <c r="P95" s="128"/>
      <c r="Q95" s="128"/>
      <c r="R95" s="128"/>
      <c r="S95" s="128"/>
    </row>
    <row r="96" spans="2:19" x14ac:dyDescent="0.2">
      <c r="L96" s="128"/>
      <c r="M96" s="128"/>
      <c r="N96" s="128"/>
      <c r="O96" s="128"/>
      <c r="P96" s="128"/>
      <c r="Q96" s="128"/>
      <c r="R96" s="128"/>
      <c r="S96" s="128"/>
    </row>
    <row r="97" spans="2:19" x14ac:dyDescent="0.2">
      <c r="L97" s="128"/>
      <c r="M97" s="128"/>
      <c r="N97" s="128"/>
      <c r="O97" s="128"/>
      <c r="P97" s="128"/>
      <c r="Q97" s="128"/>
      <c r="R97" s="128"/>
      <c r="S97" s="128"/>
    </row>
    <row r="98" spans="2:19" x14ac:dyDescent="0.2">
      <c r="L98" s="128"/>
      <c r="M98" s="128"/>
      <c r="N98" s="128"/>
      <c r="O98" s="128"/>
      <c r="P98" s="128"/>
      <c r="Q98" s="128"/>
      <c r="R98" s="128"/>
      <c r="S98" s="128"/>
    </row>
    <row r="99" spans="2:19" x14ac:dyDescent="0.2">
      <c r="L99" s="128"/>
      <c r="M99" s="128"/>
      <c r="N99" s="128"/>
      <c r="O99" s="128"/>
      <c r="P99" s="128"/>
      <c r="Q99" s="128"/>
      <c r="R99" s="128"/>
      <c r="S99" s="128"/>
    </row>
    <row r="100" spans="2:19" x14ac:dyDescent="0.2">
      <c r="B100" s="30" t="s">
        <v>55</v>
      </c>
      <c r="C100" s="29"/>
      <c r="D100" s="30">
        <v>2025</v>
      </c>
      <c r="E100" s="30">
        <v>2024</v>
      </c>
      <c r="F100" s="30">
        <v>2023</v>
      </c>
      <c r="L100" s="128"/>
      <c r="M100" s="128"/>
      <c r="N100" s="128"/>
      <c r="O100" s="128"/>
      <c r="P100" s="128"/>
      <c r="Q100" s="128"/>
      <c r="R100" s="128"/>
      <c r="S100" s="128"/>
    </row>
    <row r="101" spans="2:19" x14ac:dyDescent="0.2">
      <c r="B101" s="19"/>
      <c r="C101" s="19"/>
      <c r="D101" s="19"/>
      <c r="E101" s="19"/>
      <c r="F101" s="19"/>
      <c r="L101" s="128"/>
      <c r="M101" s="128"/>
      <c r="N101" s="128"/>
      <c r="O101" s="128"/>
      <c r="P101" s="128"/>
      <c r="Q101" s="128"/>
      <c r="R101" s="128"/>
      <c r="S101" s="128"/>
    </row>
    <row r="102" spans="2:19" x14ac:dyDescent="0.2">
      <c r="B102" s="22" t="s">
        <v>56</v>
      </c>
      <c r="C102" s="23"/>
      <c r="D102" s="24">
        <f t="shared" ref="D102:F103" si="1">D17</f>
        <v>14747</v>
      </c>
      <c r="E102" s="24">
        <f t="shared" si="1"/>
        <v>14923</v>
      </c>
      <c r="F102" s="24">
        <f t="shared" si="1"/>
        <v>13256</v>
      </c>
      <c r="L102" s="128"/>
      <c r="M102" s="128"/>
      <c r="N102" s="128"/>
      <c r="O102" s="128"/>
      <c r="P102" s="128"/>
      <c r="Q102" s="128"/>
      <c r="R102" s="128"/>
      <c r="S102" s="128"/>
    </row>
    <row r="103" spans="2:19" x14ac:dyDescent="0.2">
      <c r="B103" s="25" t="s">
        <v>24</v>
      </c>
      <c r="C103" s="26"/>
      <c r="D103" s="49">
        <f t="shared" si="1"/>
        <v>8527</v>
      </c>
      <c r="E103" s="49">
        <f t="shared" si="1"/>
        <v>11342</v>
      </c>
      <c r="F103" s="49">
        <f t="shared" si="1"/>
        <v>8899</v>
      </c>
      <c r="L103" s="128"/>
      <c r="M103" s="128"/>
      <c r="N103" s="128"/>
      <c r="O103" s="128"/>
      <c r="P103" s="128"/>
      <c r="Q103" s="128"/>
      <c r="R103" s="128"/>
      <c r="S103" s="128"/>
    </row>
    <row r="104" spans="2:19" x14ac:dyDescent="0.2">
      <c r="B104" s="25" t="s">
        <v>57</v>
      </c>
      <c r="D104" s="17">
        <f>D102-D103</f>
        <v>6220</v>
      </c>
      <c r="E104" s="17">
        <f t="shared" ref="E104:F104" si="2">E102-E103</f>
        <v>3581</v>
      </c>
      <c r="F104" s="17">
        <f t="shared" si="2"/>
        <v>4357</v>
      </c>
      <c r="L104" s="128"/>
      <c r="M104" s="128"/>
      <c r="N104" s="128"/>
      <c r="O104" s="128"/>
      <c r="P104" s="128"/>
      <c r="Q104" s="128"/>
      <c r="R104" s="128"/>
      <c r="S104" s="128"/>
    </row>
    <row r="105" spans="2:19" x14ac:dyDescent="0.2">
      <c r="B105" s="25" t="s">
        <v>58</v>
      </c>
      <c r="C105" s="26"/>
      <c r="D105" s="38">
        <f>D102/D12</f>
        <v>0.15551477954590992</v>
      </c>
      <c r="E105" s="38">
        <f>E102/E12</f>
        <v>0.1522910501071538</v>
      </c>
      <c r="F105" s="38">
        <f>F102/F12</f>
        <v>0.13698035609105846</v>
      </c>
      <c r="L105" s="128"/>
      <c r="M105" s="128"/>
      <c r="N105" s="128"/>
      <c r="O105" s="128"/>
      <c r="P105" s="128"/>
      <c r="Q105" s="128"/>
      <c r="R105" s="128"/>
      <c r="S105" s="128"/>
    </row>
    <row r="106" spans="2:19" x14ac:dyDescent="0.2">
      <c r="B106" s="25" t="s">
        <v>59</v>
      </c>
      <c r="C106" s="26"/>
      <c r="D106" s="38">
        <f>D104/D12</f>
        <v>6.5593132757547953E-2</v>
      </c>
      <c r="E106" s="38">
        <f>E104/E12</f>
        <v>3.654454536177161E-2</v>
      </c>
      <c r="F106" s="38">
        <f>F104/F12</f>
        <v>4.5022888615626262E-2</v>
      </c>
      <c r="G106" s="32"/>
      <c r="L106" s="128"/>
      <c r="M106" s="128"/>
      <c r="N106" s="128"/>
      <c r="O106" s="128"/>
      <c r="P106" s="128"/>
      <c r="Q106" s="128"/>
      <c r="R106" s="128"/>
      <c r="S106" s="128"/>
    </row>
    <row r="107" spans="2:19" x14ac:dyDescent="0.2">
      <c r="B107" s="25" t="s">
        <v>60</v>
      </c>
      <c r="C107" s="26"/>
      <c r="D107" s="38">
        <f>D103/D12</f>
        <v>8.9921646788361967E-2</v>
      </c>
      <c r="E107" s="38">
        <f>E103/E12</f>
        <v>0.11574650474538219</v>
      </c>
      <c r="F107" s="38">
        <f>F103/F12</f>
        <v>9.1957467475432195E-2</v>
      </c>
      <c r="L107" s="128"/>
      <c r="M107" s="128"/>
      <c r="N107" s="128"/>
      <c r="O107" s="128"/>
      <c r="P107" s="128"/>
      <c r="Q107" s="128"/>
      <c r="R107" s="128"/>
      <c r="S107" s="128"/>
    </row>
    <row r="108" spans="2:19" x14ac:dyDescent="0.2">
      <c r="L108" s="128"/>
      <c r="M108" s="128"/>
      <c r="N108" s="128"/>
      <c r="O108" s="128"/>
      <c r="P108" s="128"/>
      <c r="Q108" s="128"/>
      <c r="R108" s="128"/>
      <c r="S108" s="128"/>
    </row>
    <row r="109" spans="2:19" x14ac:dyDescent="0.2">
      <c r="L109" s="128"/>
      <c r="M109" s="128"/>
      <c r="N109" s="128"/>
      <c r="O109" s="128"/>
      <c r="P109" s="128"/>
      <c r="Q109" s="128"/>
      <c r="R109" s="128"/>
      <c r="S109" s="128"/>
    </row>
    <row r="110" spans="2:19" x14ac:dyDescent="0.2">
      <c r="L110" s="128"/>
      <c r="M110" s="128"/>
      <c r="N110" s="128"/>
      <c r="O110" s="128"/>
      <c r="P110" s="128"/>
      <c r="Q110" s="128"/>
      <c r="R110" s="128"/>
      <c r="S110" s="128"/>
    </row>
    <row r="111" spans="2:19" x14ac:dyDescent="0.2">
      <c r="L111" s="128"/>
      <c r="M111" s="128"/>
      <c r="N111" s="128"/>
      <c r="O111" s="128"/>
      <c r="P111" s="128"/>
      <c r="Q111" s="128"/>
      <c r="R111" s="128"/>
      <c r="S111" s="128"/>
    </row>
    <row r="112" spans="2:19" x14ac:dyDescent="0.2">
      <c r="L112" s="128"/>
      <c r="M112" s="128"/>
      <c r="N112" s="128"/>
      <c r="O112" s="128"/>
      <c r="P112" s="128"/>
      <c r="Q112" s="128"/>
      <c r="R112" s="128"/>
      <c r="S112" s="128"/>
    </row>
    <row r="115" spans="2:19" x14ac:dyDescent="0.2">
      <c r="L115" s="128" t="s">
        <v>74</v>
      </c>
      <c r="M115" s="128"/>
      <c r="N115" s="128"/>
      <c r="O115" s="128"/>
      <c r="P115" s="128"/>
      <c r="Q115" s="128"/>
      <c r="R115" s="128"/>
      <c r="S115" s="128"/>
    </row>
    <row r="116" spans="2:19" x14ac:dyDescent="0.2">
      <c r="F116" s="17"/>
      <c r="L116" s="128"/>
      <c r="M116" s="128"/>
      <c r="N116" s="128"/>
      <c r="O116" s="128"/>
      <c r="P116" s="128"/>
      <c r="Q116" s="128"/>
      <c r="R116" s="128"/>
      <c r="S116" s="128"/>
    </row>
    <row r="117" spans="2:19" x14ac:dyDescent="0.2">
      <c r="L117" s="128"/>
      <c r="M117" s="128"/>
      <c r="N117" s="128"/>
      <c r="O117" s="128"/>
      <c r="P117" s="128"/>
      <c r="Q117" s="128"/>
      <c r="R117" s="128"/>
      <c r="S117" s="128"/>
    </row>
    <row r="118" spans="2:19" x14ac:dyDescent="0.2">
      <c r="B118" s="30" t="s">
        <v>62</v>
      </c>
      <c r="C118" s="29"/>
      <c r="D118" s="30">
        <v>2025</v>
      </c>
      <c r="E118" s="30">
        <v>2024</v>
      </c>
      <c r="F118" s="50"/>
      <c r="L118" s="128"/>
      <c r="M118" s="128"/>
      <c r="N118" s="128"/>
      <c r="O118" s="128"/>
      <c r="P118" s="128"/>
      <c r="Q118" s="128"/>
      <c r="R118" s="128"/>
      <c r="S118" s="128"/>
    </row>
    <row r="119" spans="2:19" x14ac:dyDescent="0.2">
      <c r="B119" s="19"/>
      <c r="C119" s="19"/>
      <c r="D119" s="19"/>
      <c r="E119" s="19"/>
      <c r="F119" s="17"/>
      <c r="L119" s="128"/>
      <c r="M119" s="128"/>
      <c r="N119" s="128"/>
      <c r="O119" s="128"/>
      <c r="P119" s="128"/>
      <c r="Q119" s="128"/>
      <c r="R119" s="128"/>
      <c r="S119" s="128"/>
    </row>
    <row r="120" spans="2:19" x14ac:dyDescent="0.2">
      <c r="B120" s="22" t="s">
        <v>63</v>
      </c>
      <c r="C120" s="23"/>
      <c r="D120" s="24">
        <v>16513</v>
      </c>
      <c r="E120" s="24">
        <v>16139</v>
      </c>
      <c r="F120" s="35"/>
      <c r="L120" s="128"/>
      <c r="M120" s="128"/>
      <c r="N120" s="128"/>
      <c r="O120" s="128"/>
      <c r="P120" s="128"/>
      <c r="Q120" s="128"/>
      <c r="R120" s="128"/>
      <c r="S120" s="128"/>
    </row>
    <row r="121" spans="2:19" x14ac:dyDescent="0.2">
      <c r="B121" s="25" t="s">
        <v>64</v>
      </c>
      <c r="C121" s="26"/>
      <c r="D121" s="49">
        <v>27546</v>
      </c>
      <c r="E121" s="49">
        <v>20424</v>
      </c>
      <c r="F121" s="35"/>
      <c r="L121" s="128"/>
      <c r="M121" s="128"/>
      <c r="N121" s="128"/>
      <c r="O121" s="128"/>
      <c r="P121" s="128"/>
      <c r="Q121" s="128"/>
      <c r="R121" s="128"/>
      <c r="S121" s="128"/>
    </row>
    <row r="122" spans="2:19" x14ac:dyDescent="0.2">
      <c r="B122" s="25" t="s">
        <v>65</v>
      </c>
      <c r="D122" s="17">
        <v>68642</v>
      </c>
      <c r="E122" s="17">
        <v>58360</v>
      </c>
      <c r="F122" s="35"/>
      <c r="L122" s="128"/>
      <c r="M122" s="128"/>
      <c r="N122" s="128"/>
      <c r="O122" s="128"/>
      <c r="P122" s="128"/>
      <c r="Q122" s="128"/>
      <c r="R122" s="128"/>
      <c r="S122" s="128"/>
    </row>
    <row r="123" spans="2:19" x14ac:dyDescent="0.2">
      <c r="B123" s="25" t="s">
        <v>66</v>
      </c>
      <c r="C123" s="26"/>
      <c r="D123" s="28">
        <v>31714</v>
      </c>
      <c r="E123" s="28">
        <v>28821</v>
      </c>
      <c r="F123" s="50"/>
      <c r="L123" s="128"/>
      <c r="M123" s="128"/>
      <c r="N123" s="128"/>
      <c r="O123" s="128"/>
      <c r="P123" s="128"/>
      <c r="Q123" s="128"/>
      <c r="R123" s="128"/>
      <c r="S123" s="128"/>
    </row>
    <row r="124" spans="2:19" x14ac:dyDescent="0.2">
      <c r="B124" s="25" t="s">
        <v>67</v>
      </c>
      <c r="C124" s="26"/>
      <c r="D124" s="28">
        <v>137806</v>
      </c>
      <c r="E124" s="28">
        <v>122070</v>
      </c>
      <c r="F124" s="35"/>
      <c r="G124" s="35"/>
      <c r="L124" s="128"/>
      <c r="M124" s="128"/>
      <c r="N124" s="128"/>
      <c r="O124" s="128"/>
      <c r="P124" s="128"/>
      <c r="Q124" s="128"/>
      <c r="R124" s="128"/>
      <c r="S124" s="128"/>
    </row>
    <row r="125" spans="2:19" x14ac:dyDescent="0.2">
      <c r="B125" s="25" t="s">
        <v>68</v>
      </c>
      <c r="C125" s="26"/>
      <c r="D125" s="28">
        <v>54941</v>
      </c>
      <c r="E125" s="28">
        <v>48390</v>
      </c>
      <c r="L125" s="128"/>
      <c r="M125" s="128"/>
      <c r="N125" s="128"/>
      <c r="O125" s="128"/>
      <c r="P125" s="128"/>
      <c r="Q125" s="128"/>
      <c r="R125" s="128"/>
      <c r="S125" s="128"/>
    </row>
    <row r="126" spans="2:19" x14ac:dyDescent="0.2">
      <c r="B126" s="25" t="s">
        <v>69</v>
      </c>
      <c r="C126" s="26"/>
      <c r="D126" s="28">
        <v>82137</v>
      </c>
      <c r="E126" s="28">
        <v>72913</v>
      </c>
      <c r="L126" s="128"/>
      <c r="M126" s="128"/>
      <c r="N126" s="128"/>
      <c r="O126" s="128"/>
      <c r="P126" s="128"/>
      <c r="Q126" s="128"/>
      <c r="R126" s="128"/>
      <c r="S126" s="128"/>
    </row>
    <row r="127" spans="2:19" x14ac:dyDescent="0.2">
      <c r="B127" s="25" t="s">
        <v>70</v>
      </c>
      <c r="C127" s="38"/>
      <c r="D127" s="28">
        <v>8376</v>
      </c>
      <c r="E127" s="28">
        <v>8213</v>
      </c>
      <c r="L127" s="128"/>
      <c r="M127" s="128"/>
      <c r="N127" s="128"/>
      <c r="O127" s="128"/>
      <c r="P127" s="128"/>
      <c r="Q127" s="128"/>
      <c r="R127" s="128"/>
      <c r="S127" s="128"/>
    </row>
    <row r="128" spans="2:19" x14ac:dyDescent="0.2">
      <c r="L128" s="128"/>
      <c r="M128" s="128"/>
      <c r="N128" s="128"/>
      <c r="O128" s="128"/>
      <c r="P128" s="128"/>
      <c r="Q128" s="128"/>
      <c r="R128" s="128"/>
      <c r="S128" s="128"/>
    </row>
    <row r="129" spans="2:19" x14ac:dyDescent="0.2">
      <c r="B129" s="51" t="s">
        <v>71</v>
      </c>
      <c r="C129" s="23"/>
      <c r="D129" s="53">
        <f>D122/D123</f>
        <v>2.1644068865485275</v>
      </c>
      <c r="E129" s="53">
        <f>E122/E123</f>
        <v>2.0249123902709831</v>
      </c>
      <c r="L129" s="128"/>
      <c r="M129" s="128"/>
      <c r="N129" s="128"/>
      <c r="O129" s="128"/>
      <c r="P129" s="128"/>
      <c r="Q129" s="128"/>
      <c r="R129" s="128"/>
      <c r="S129" s="128"/>
    </row>
    <row r="130" spans="2:19" x14ac:dyDescent="0.2">
      <c r="B130" s="52" t="s">
        <v>72</v>
      </c>
      <c r="C130" s="26"/>
      <c r="D130" s="38">
        <f>D127/D126</f>
        <v>0.1019759669819935</v>
      </c>
      <c r="E130" s="38">
        <f>E127/E126</f>
        <v>0.11264109280923841</v>
      </c>
      <c r="L130" s="128"/>
      <c r="M130" s="128"/>
      <c r="N130" s="128"/>
      <c r="O130" s="128"/>
      <c r="P130" s="128"/>
      <c r="Q130" s="128"/>
      <c r="R130" s="128"/>
      <c r="S130" s="128"/>
    </row>
    <row r="131" spans="2:19" x14ac:dyDescent="0.2">
      <c r="B131" s="4" t="s">
        <v>73</v>
      </c>
      <c r="D131" s="35">
        <f>D125/D124</f>
        <v>0.39868365673483014</v>
      </c>
      <c r="E131" s="35">
        <f>E125/E124</f>
        <v>0.39641189481445072</v>
      </c>
      <c r="L131" s="128"/>
      <c r="M131" s="128"/>
      <c r="N131" s="128"/>
      <c r="O131" s="128"/>
      <c r="P131" s="128"/>
      <c r="Q131" s="128"/>
      <c r="R131" s="128"/>
      <c r="S131" s="128"/>
    </row>
    <row r="132" spans="2:19" x14ac:dyDescent="0.2">
      <c r="L132" s="128"/>
      <c r="M132" s="128"/>
      <c r="N132" s="128"/>
      <c r="O132" s="128"/>
      <c r="P132" s="128"/>
      <c r="Q132" s="128"/>
      <c r="R132" s="128"/>
      <c r="S132" s="128"/>
    </row>
    <row r="133" spans="2:19" x14ac:dyDescent="0.2">
      <c r="L133" s="128"/>
      <c r="M133" s="128"/>
      <c r="N133" s="128"/>
      <c r="O133" s="128"/>
      <c r="P133" s="128"/>
      <c r="Q133" s="128"/>
      <c r="R133" s="128"/>
      <c r="S133" s="128"/>
    </row>
    <row r="137" spans="2:19" x14ac:dyDescent="0.2">
      <c r="B137" s="134" t="s">
        <v>75</v>
      </c>
      <c r="C137" s="134"/>
      <c r="D137" s="134"/>
      <c r="E137" s="134"/>
      <c r="F137" s="134"/>
      <c r="G137" s="134"/>
      <c r="H137" s="134"/>
      <c r="I137" s="134"/>
    </row>
    <row r="138" spans="2:19" x14ac:dyDescent="0.2">
      <c r="B138" s="134"/>
      <c r="C138" s="134"/>
      <c r="D138" s="134"/>
      <c r="E138" s="134"/>
      <c r="F138" s="134"/>
      <c r="G138" s="134"/>
      <c r="H138" s="134"/>
      <c r="I138" s="134"/>
    </row>
    <row r="139" spans="2:19" x14ac:dyDescent="0.2">
      <c r="B139" s="134"/>
      <c r="C139" s="134"/>
      <c r="D139" s="134"/>
      <c r="E139" s="134"/>
      <c r="F139" s="134"/>
      <c r="G139" s="134"/>
      <c r="H139" s="134"/>
      <c r="I139" s="134"/>
    </row>
    <row r="140" spans="2:19" x14ac:dyDescent="0.2">
      <c r="B140" s="134"/>
      <c r="C140" s="134"/>
      <c r="D140" s="134"/>
      <c r="E140" s="134"/>
      <c r="F140" s="134"/>
      <c r="G140" s="134"/>
      <c r="H140" s="134"/>
      <c r="I140" s="134"/>
    </row>
    <row r="141" spans="2:19" x14ac:dyDescent="0.2">
      <c r="B141" s="134"/>
      <c r="C141" s="134"/>
      <c r="D141" s="134"/>
      <c r="E141" s="134"/>
      <c r="F141" s="134"/>
      <c r="G141" s="134"/>
      <c r="H141" s="134"/>
      <c r="I141" s="134"/>
    </row>
    <row r="142" spans="2:19" x14ac:dyDescent="0.2">
      <c r="B142" s="134"/>
      <c r="C142" s="134"/>
      <c r="D142" s="134"/>
      <c r="E142" s="134"/>
      <c r="F142" s="134"/>
      <c r="G142" s="134"/>
      <c r="H142" s="134"/>
      <c r="I142" s="134"/>
    </row>
    <row r="143" spans="2:19" x14ac:dyDescent="0.2">
      <c r="B143" s="134"/>
      <c r="C143" s="134"/>
      <c r="D143" s="134"/>
      <c r="E143" s="134"/>
      <c r="F143" s="134"/>
      <c r="G143" s="134"/>
      <c r="H143" s="134"/>
      <c r="I143" s="134"/>
    </row>
    <row r="144" spans="2:19" x14ac:dyDescent="0.2">
      <c r="B144" s="134"/>
      <c r="C144" s="134"/>
      <c r="D144" s="134"/>
      <c r="E144" s="134"/>
      <c r="F144" s="134"/>
      <c r="G144" s="134"/>
      <c r="H144" s="134"/>
      <c r="I144" s="134"/>
    </row>
    <row r="145" spans="2:9" x14ac:dyDescent="0.2">
      <c r="B145" s="134"/>
      <c r="C145" s="134"/>
      <c r="D145" s="134"/>
      <c r="E145" s="134"/>
      <c r="F145" s="134"/>
      <c r="G145" s="134"/>
      <c r="H145" s="134"/>
      <c r="I145" s="134"/>
    </row>
    <row r="146" spans="2:9" x14ac:dyDescent="0.2">
      <c r="B146" s="134"/>
      <c r="C146" s="134"/>
      <c r="D146" s="134"/>
      <c r="E146" s="134"/>
      <c r="F146" s="134"/>
      <c r="G146" s="134"/>
      <c r="H146" s="134"/>
      <c r="I146" s="134"/>
    </row>
    <row r="147" spans="2:9" x14ac:dyDescent="0.2">
      <c r="B147" s="134"/>
      <c r="C147" s="134"/>
      <c r="D147" s="134"/>
      <c r="E147" s="134"/>
      <c r="F147" s="134"/>
      <c r="G147" s="134"/>
      <c r="H147" s="134"/>
      <c r="I147" s="134"/>
    </row>
    <row r="148" spans="2:9" x14ac:dyDescent="0.2">
      <c r="B148" s="134"/>
      <c r="C148" s="134"/>
      <c r="D148" s="134"/>
      <c r="E148" s="134"/>
      <c r="F148" s="134"/>
      <c r="G148" s="134"/>
      <c r="H148" s="134"/>
      <c r="I148" s="134"/>
    </row>
    <row r="149" spans="2:9" x14ac:dyDescent="0.2">
      <c r="B149" s="134"/>
      <c r="C149" s="134"/>
      <c r="D149" s="134"/>
      <c r="E149" s="134"/>
      <c r="F149" s="134"/>
      <c r="G149" s="134"/>
      <c r="H149" s="134"/>
      <c r="I149" s="134"/>
    </row>
    <row r="150" spans="2:9" x14ac:dyDescent="0.2">
      <c r="B150" s="134"/>
      <c r="C150" s="134"/>
      <c r="D150" s="134"/>
      <c r="E150" s="134"/>
      <c r="F150" s="134"/>
      <c r="G150" s="134"/>
      <c r="H150" s="134"/>
      <c r="I150" s="134"/>
    </row>
    <row r="151" spans="2:9" x14ac:dyDescent="0.2">
      <c r="B151" s="134"/>
      <c r="C151" s="134"/>
      <c r="D151" s="134"/>
      <c r="E151" s="134"/>
      <c r="F151" s="134"/>
      <c r="G151" s="134"/>
      <c r="H151" s="134"/>
      <c r="I151" s="134"/>
    </row>
    <row r="152" spans="2:9" x14ac:dyDescent="0.2">
      <c r="B152" s="134"/>
      <c r="C152" s="134"/>
      <c r="D152" s="134"/>
      <c r="E152" s="134"/>
      <c r="F152" s="134"/>
      <c r="G152" s="134"/>
      <c r="H152" s="134"/>
      <c r="I152" s="134"/>
    </row>
    <row r="153" spans="2:9" x14ac:dyDescent="0.2">
      <c r="B153" s="134"/>
      <c r="C153" s="134"/>
      <c r="D153" s="134"/>
      <c r="E153" s="134"/>
      <c r="F153" s="134"/>
      <c r="G153" s="134"/>
      <c r="H153" s="134"/>
      <c r="I153" s="134"/>
    </row>
    <row r="154" spans="2:9" x14ac:dyDescent="0.2">
      <c r="B154" s="134"/>
      <c r="C154" s="134"/>
      <c r="D154" s="134"/>
      <c r="E154" s="134"/>
      <c r="F154" s="134"/>
      <c r="G154" s="134"/>
      <c r="H154" s="134"/>
      <c r="I154" s="134"/>
    </row>
    <row r="155" spans="2:9" x14ac:dyDescent="0.2">
      <c r="B155" s="134"/>
      <c r="C155" s="134"/>
      <c r="D155" s="134"/>
      <c r="E155" s="134"/>
      <c r="F155" s="134"/>
      <c r="G155" s="134"/>
      <c r="H155" s="134"/>
      <c r="I155" s="134"/>
    </row>
  </sheetData>
  <mergeCells count="23">
    <mergeCell ref="L73:S91"/>
    <mergeCell ref="L94:S112"/>
    <mergeCell ref="L115:S133"/>
    <mergeCell ref="B137:I155"/>
    <mergeCell ref="N46:Q46"/>
    <mergeCell ref="N68:Q68"/>
    <mergeCell ref="L48:S66"/>
    <mergeCell ref="C58:D58"/>
    <mergeCell ref="C59:D59"/>
    <mergeCell ref="C60:D60"/>
    <mergeCell ref="C57:D57"/>
    <mergeCell ref="E57:F57"/>
    <mergeCell ref="E58:F58"/>
    <mergeCell ref="E59:F59"/>
    <mergeCell ref="E60:F60"/>
    <mergeCell ref="E61:F61"/>
    <mergeCell ref="C56:D56"/>
    <mergeCell ref="E56:F56"/>
    <mergeCell ref="B3:D3"/>
    <mergeCell ref="N23:Q23"/>
    <mergeCell ref="L6:S21"/>
    <mergeCell ref="B32:G32"/>
    <mergeCell ref="L26:S44"/>
  </mergeCells>
  <hyperlinks>
    <hyperlink ref="N23:Q23" r:id="rId1" location="i39f9a11fdbe840828cbaefa2e098ffa8_178" display="source: " xr:uid="{89D22F4A-B7DA-1C40-91A8-62EC776852A1}"/>
    <hyperlink ref="N46:Q46" r:id="rId2" location="i39f9a11fdbe840828cbaefa2e098ffa8_178" display="source: " xr:uid="{682D3712-4DE5-D641-BA56-A2DE677DEB8F}"/>
    <hyperlink ref="N68" r:id="rId3" location="i39f9a11fdbe840828cbaefa2e098ffa8_178" display="https://www.sec.gov/Archives/edgar/data/1318605/000162828026003952/tsla-20251231.htm?utm_source=chatgpt.com - i39f9a11fdbe840828cbaefa2e098ffa8_178" xr:uid="{68D0DF58-37ED-A143-8DC0-A3D256B48BCF}"/>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9AA40-3F00-E34D-A749-1B1783F6989B}">
  <dimension ref="B3:S90"/>
  <sheetViews>
    <sheetView zoomScale="75" workbookViewId="0">
      <selection activeCell="B86" sqref="B86"/>
    </sheetView>
  </sheetViews>
  <sheetFormatPr baseColWidth="10" defaultRowHeight="16" x14ac:dyDescent="0.2"/>
  <cols>
    <col min="2" max="2" width="26.1640625" bestFit="1" customWidth="1"/>
    <col min="4" max="5" width="12.83203125" bestFit="1" customWidth="1"/>
    <col min="6" max="6" width="11.5" bestFit="1" customWidth="1"/>
  </cols>
  <sheetData>
    <row r="3" spans="2:19" ht="16" customHeight="1" x14ac:dyDescent="0.2">
      <c r="J3" s="128" t="s">
        <v>80</v>
      </c>
      <c r="K3" s="123"/>
      <c r="L3" s="123"/>
      <c r="M3" s="123"/>
      <c r="N3" s="123"/>
      <c r="O3" s="123"/>
      <c r="P3" s="123"/>
      <c r="Q3" s="123"/>
      <c r="R3" s="123"/>
      <c r="S3" s="123"/>
    </row>
    <row r="4" spans="2:19" x14ac:dyDescent="0.2">
      <c r="J4" s="123"/>
      <c r="K4" s="123"/>
      <c r="L4" s="123"/>
      <c r="M4" s="123"/>
      <c r="N4" s="123"/>
      <c r="O4" s="123"/>
      <c r="P4" s="123"/>
      <c r="Q4" s="123"/>
      <c r="R4" s="123"/>
      <c r="S4" s="123"/>
    </row>
    <row r="5" spans="2:19" x14ac:dyDescent="0.2">
      <c r="J5" s="123"/>
      <c r="K5" s="123"/>
      <c r="L5" s="123"/>
      <c r="M5" s="123"/>
      <c r="N5" s="123"/>
      <c r="O5" s="123"/>
      <c r="P5" s="123"/>
      <c r="Q5" s="123"/>
      <c r="R5" s="123"/>
      <c r="S5" s="123"/>
    </row>
    <row r="6" spans="2:19" x14ac:dyDescent="0.2">
      <c r="J6" s="123"/>
      <c r="K6" s="123"/>
      <c r="L6" s="123"/>
      <c r="M6" s="123"/>
      <c r="N6" s="123"/>
      <c r="O6" s="123"/>
      <c r="P6" s="123"/>
      <c r="Q6" s="123"/>
      <c r="R6" s="123"/>
      <c r="S6" s="123"/>
    </row>
    <row r="7" spans="2:19" x14ac:dyDescent="0.2">
      <c r="J7" s="123"/>
      <c r="K7" s="123"/>
      <c r="L7" s="123"/>
      <c r="M7" s="123"/>
      <c r="N7" s="123"/>
      <c r="O7" s="123"/>
      <c r="P7" s="123"/>
      <c r="Q7" s="123"/>
      <c r="R7" s="123"/>
      <c r="S7" s="123"/>
    </row>
    <row r="8" spans="2:19" x14ac:dyDescent="0.2">
      <c r="J8" s="123"/>
      <c r="K8" s="123"/>
      <c r="L8" s="123"/>
      <c r="M8" s="123"/>
      <c r="N8" s="123"/>
      <c r="O8" s="123"/>
      <c r="P8" s="123"/>
      <c r="Q8" s="123"/>
      <c r="R8" s="123"/>
      <c r="S8" s="123"/>
    </row>
    <row r="9" spans="2:19" x14ac:dyDescent="0.2">
      <c r="B9" s="125" t="s">
        <v>79</v>
      </c>
      <c r="C9" s="126"/>
      <c r="D9" s="126"/>
      <c r="E9" s="126"/>
      <c r="F9" s="126"/>
      <c r="G9" s="127"/>
      <c r="J9" s="123"/>
      <c r="K9" s="123"/>
      <c r="L9" s="123"/>
      <c r="M9" s="123"/>
      <c r="N9" s="123"/>
      <c r="O9" s="123"/>
      <c r="P9" s="123"/>
      <c r="Q9" s="123"/>
      <c r="R9" s="123"/>
      <c r="S9" s="123"/>
    </row>
    <row r="10" spans="2:19" x14ac:dyDescent="0.2">
      <c r="B10" s="39"/>
      <c r="C10" s="40"/>
      <c r="D10" s="40">
        <v>2025</v>
      </c>
      <c r="E10" s="40">
        <v>2024</v>
      </c>
      <c r="F10" s="40">
        <v>2023</v>
      </c>
      <c r="G10" s="41"/>
      <c r="J10" s="123"/>
      <c r="K10" s="123"/>
      <c r="L10" s="123"/>
      <c r="M10" s="123"/>
      <c r="N10" s="123"/>
      <c r="O10" s="123"/>
      <c r="P10" s="123"/>
      <c r="Q10" s="123"/>
      <c r="R10" s="123"/>
      <c r="S10" s="123"/>
    </row>
    <row r="11" spans="2:19" x14ac:dyDescent="0.2">
      <c r="B11" s="20" t="s">
        <v>51</v>
      </c>
      <c r="D11" s="17">
        <v>4355</v>
      </c>
      <c r="E11" s="17">
        <f>'TESLA inc. HFP  '!E84</f>
        <v>7076</v>
      </c>
      <c r="F11" s="17">
        <f>'TESLA inc. HFP  '!F84</f>
        <v>8891</v>
      </c>
      <c r="G11" s="34"/>
      <c r="J11" s="123"/>
      <c r="K11" s="123"/>
      <c r="L11" s="123"/>
      <c r="M11" s="123"/>
      <c r="N11" s="123"/>
      <c r="O11" s="123"/>
      <c r="P11" s="123"/>
      <c r="Q11" s="123"/>
      <c r="R11" s="123"/>
      <c r="S11" s="123"/>
    </row>
    <row r="12" spans="2:19" ht="34" x14ac:dyDescent="0.2">
      <c r="B12" s="54" t="s">
        <v>76</v>
      </c>
      <c r="C12" s="26"/>
      <c r="D12" s="27">
        <v>6148</v>
      </c>
      <c r="E12" s="27">
        <v>6148</v>
      </c>
      <c r="F12" s="27">
        <v>6148</v>
      </c>
      <c r="G12" s="37"/>
      <c r="J12" s="123"/>
      <c r="K12" s="123"/>
      <c r="L12" s="123"/>
      <c r="M12" s="123"/>
      <c r="N12" s="123"/>
      <c r="O12" s="123"/>
      <c r="P12" s="123"/>
      <c r="Q12" s="123"/>
      <c r="R12" s="123"/>
      <c r="S12" s="123"/>
    </row>
    <row r="13" spans="2:19" x14ac:dyDescent="0.2">
      <c r="B13" s="25" t="s">
        <v>77</v>
      </c>
      <c r="C13" s="26"/>
      <c r="D13" s="27">
        <f>D12+D11</f>
        <v>10503</v>
      </c>
      <c r="E13" s="27">
        <f t="shared" ref="E13:F13" si="0">E12+E11</f>
        <v>13224</v>
      </c>
      <c r="F13" s="27">
        <f t="shared" si="0"/>
        <v>15039</v>
      </c>
      <c r="G13" s="37"/>
      <c r="J13" s="123"/>
      <c r="K13" s="123"/>
      <c r="L13" s="123"/>
      <c r="M13" s="123"/>
      <c r="N13" s="123"/>
      <c r="O13" s="123"/>
      <c r="P13" s="123"/>
      <c r="Q13" s="123"/>
      <c r="R13" s="123"/>
      <c r="S13" s="123"/>
    </row>
    <row r="14" spans="2:19" x14ac:dyDescent="0.2">
      <c r="B14" s="25" t="s">
        <v>78</v>
      </c>
      <c r="C14" s="26"/>
      <c r="D14" s="42">
        <f>D13/'TESLA inc. HFP  '!D12</f>
        <v>0.11075959378657978</v>
      </c>
      <c r="E14" s="42">
        <f>E13/'TESLA inc. HFP  '!E12</f>
        <v>0.13495254617818145</v>
      </c>
      <c r="F14" s="42">
        <f>F13/'TESLA inc. HFP  '!F12</f>
        <v>0.15540491666063883</v>
      </c>
      <c r="G14" s="37"/>
      <c r="J14" s="123"/>
      <c r="K14" s="123"/>
      <c r="L14" s="123"/>
      <c r="M14" s="123"/>
      <c r="N14" s="123"/>
      <c r="O14" s="123"/>
      <c r="P14" s="123"/>
      <c r="Q14" s="123"/>
      <c r="R14" s="123"/>
      <c r="S14" s="123"/>
    </row>
    <row r="15" spans="2:19" x14ac:dyDescent="0.2">
      <c r="J15" s="123"/>
      <c r="K15" s="123"/>
      <c r="L15" s="123"/>
      <c r="M15" s="123"/>
      <c r="N15" s="123"/>
      <c r="O15" s="123"/>
      <c r="P15" s="123"/>
      <c r="Q15" s="123"/>
      <c r="R15" s="123"/>
      <c r="S15" s="123"/>
    </row>
    <row r="16" spans="2:19" x14ac:dyDescent="0.2">
      <c r="J16" s="123"/>
      <c r="K16" s="123"/>
      <c r="L16" s="123"/>
      <c r="M16" s="123"/>
      <c r="N16" s="123"/>
      <c r="O16" s="123"/>
      <c r="P16" s="123"/>
      <c r="Q16" s="123"/>
      <c r="R16" s="123"/>
      <c r="S16" s="123"/>
    </row>
    <row r="17" spans="2:19" x14ac:dyDescent="0.2">
      <c r="J17" s="123"/>
      <c r="K17" s="123"/>
      <c r="L17" s="123"/>
      <c r="M17" s="123"/>
      <c r="N17" s="123"/>
      <c r="O17" s="123"/>
      <c r="P17" s="123"/>
      <c r="Q17" s="123"/>
      <c r="R17" s="123"/>
      <c r="S17" s="123"/>
    </row>
    <row r="18" spans="2:19" x14ac:dyDescent="0.2">
      <c r="J18" s="123"/>
      <c r="K18" s="123"/>
      <c r="L18" s="123"/>
      <c r="M18" s="123"/>
      <c r="N18" s="123"/>
      <c r="O18" s="123"/>
      <c r="P18" s="123"/>
      <c r="Q18" s="123"/>
      <c r="R18" s="123"/>
      <c r="S18" s="123"/>
    </row>
    <row r="22" spans="2:19" x14ac:dyDescent="0.2">
      <c r="J22" s="128" t="s">
        <v>89</v>
      </c>
      <c r="K22" s="123"/>
      <c r="L22" s="123"/>
      <c r="M22" s="123"/>
      <c r="N22" s="123"/>
      <c r="O22" s="123"/>
      <c r="P22" s="123"/>
      <c r="Q22" s="123"/>
      <c r="R22" s="123"/>
      <c r="S22" s="123"/>
    </row>
    <row r="23" spans="2:19" x14ac:dyDescent="0.2">
      <c r="J23" s="123"/>
      <c r="K23" s="123"/>
      <c r="L23" s="123"/>
      <c r="M23" s="123"/>
      <c r="N23" s="123"/>
      <c r="O23" s="123"/>
      <c r="P23" s="123"/>
      <c r="Q23" s="123"/>
      <c r="R23" s="123"/>
      <c r="S23" s="123"/>
    </row>
    <row r="24" spans="2:19" x14ac:dyDescent="0.2">
      <c r="J24" s="123"/>
      <c r="K24" s="123"/>
      <c r="L24" s="123"/>
      <c r="M24" s="123"/>
      <c r="N24" s="123"/>
      <c r="O24" s="123"/>
      <c r="P24" s="123"/>
      <c r="Q24" s="123"/>
      <c r="R24" s="123"/>
      <c r="S24" s="123"/>
    </row>
    <row r="25" spans="2:19" x14ac:dyDescent="0.2">
      <c r="B25" s="125" t="s">
        <v>81</v>
      </c>
      <c r="C25" s="126"/>
      <c r="D25" s="126"/>
      <c r="E25" s="126"/>
      <c r="F25" s="126"/>
      <c r="G25" s="127"/>
      <c r="J25" s="123"/>
      <c r="K25" s="123"/>
      <c r="L25" s="123"/>
      <c r="M25" s="123"/>
      <c r="N25" s="123"/>
      <c r="O25" s="123"/>
      <c r="P25" s="123"/>
      <c r="Q25" s="123"/>
      <c r="R25" s="123"/>
      <c r="S25" s="123"/>
    </row>
    <row r="26" spans="2:19" x14ac:dyDescent="0.2">
      <c r="B26" s="39"/>
      <c r="C26" s="40"/>
      <c r="D26" s="40">
        <v>2025</v>
      </c>
      <c r="E26" s="40">
        <v>2024</v>
      </c>
      <c r="F26" s="40">
        <v>2023</v>
      </c>
      <c r="G26" s="41"/>
      <c r="J26" s="123"/>
      <c r="K26" s="123"/>
      <c r="L26" s="123"/>
      <c r="M26" s="123"/>
      <c r="N26" s="123"/>
      <c r="O26" s="123"/>
      <c r="P26" s="123"/>
      <c r="Q26" s="123"/>
      <c r="R26" s="123"/>
      <c r="S26" s="123"/>
    </row>
    <row r="27" spans="2:19" x14ac:dyDescent="0.2">
      <c r="B27" s="20" t="s">
        <v>82</v>
      </c>
      <c r="D27" s="17">
        <v>6411</v>
      </c>
      <c r="E27" s="17">
        <v>4540</v>
      </c>
      <c r="F27" s="17">
        <v>3969</v>
      </c>
      <c r="G27" s="34"/>
      <c r="J27" s="123"/>
      <c r="K27" s="123"/>
      <c r="L27" s="123"/>
      <c r="M27" s="123"/>
      <c r="N27" s="123"/>
      <c r="O27" s="123"/>
      <c r="P27" s="123"/>
      <c r="Q27" s="123"/>
      <c r="R27" s="123"/>
      <c r="S27" s="123"/>
    </row>
    <row r="28" spans="2:19" ht="17" x14ac:dyDescent="0.2">
      <c r="B28" s="54" t="s">
        <v>83</v>
      </c>
      <c r="C28" s="26"/>
      <c r="D28" s="27">
        <v>5834</v>
      </c>
      <c r="E28" s="27">
        <v>5150</v>
      </c>
      <c r="F28" s="27">
        <v>4800</v>
      </c>
      <c r="G28" s="37"/>
      <c r="J28" s="123"/>
      <c r="K28" s="123"/>
      <c r="L28" s="123"/>
      <c r="M28" s="123"/>
      <c r="N28" s="123"/>
      <c r="O28" s="123"/>
      <c r="P28" s="123"/>
      <c r="Q28" s="123"/>
      <c r="R28" s="123"/>
      <c r="S28" s="123"/>
    </row>
    <row r="29" spans="2:19" x14ac:dyDescent="0.2">
      <c r="B29" s="25" t="s">
        <v>84</v>
      </c>
      <c r="C29" s="26"/>
      <c r="D29" s="27">
        <v>494</v>
      </c>
      <c r="E29" s="27">
        <v>684</v>
      </c>
      <c r="F29" s="27">
        <v>0</v>
      </c>
      <c r="G29" s="37"/>
      <c r="J29" s="123"/>
      <c r="K29" s="123"/>
      <c r="L29" s="123"/>
      <c r="M29" s="123"/>
      <c r="N29" s="123"/>
      <c r="O29" s="123"/>
      <c r="P29" s="123"/>
      <c r="Q29" s="123"/>
      <c r="R29" s="123"/>
      <c r="S29" s="123"/>
    </row>
    <row r="30" spans="2:19" x14ac:dyDescent="0.2">
      <c r="B30" s="25" t="s">
        <v>85</v>
      </c>
      <c r="C30" s="26"/>
      <c r="D30" s="55">
        <f>SUM(D27:D29)</f>
        <v>12739</v>
      </c>
      <c r="E30" s="55">
        <f>SUM(E27:E29)</f>
        <v>10374</v>
      </c>
      <c r="F30" s="55">
        <f>SUM(F27:F29)</f>
        <v>8769</v>
      </c>
      <c r="G30" s="37"/>
      <c r="J30" s="123"/>
      <c r="K30" s="123"/>
      <c r="L30" s="123"/>
      <c r="M30" s="123"/>
      <c r="N30" s="123"/>
      <c r="O30" s="123"/>
      <c r="P30" s="123"/>
      <c r="Q30" s="123"/>
      <c r="R30" s="123"/>
      <c r="S30" s="123"/>
    </row>
    <row r="31" spans="2:19" x14ac:dyDescent="0.2">
      <c r="B31" s="20" t="s">
        <v>86</v>
      </c>
      <c r="D31" s="35">
        <f>D27/'TESLA inc. HFP  '!D12</f>
        <v>6.7607327027112529E-2</v>
      </c>
      <c r="E31" s="35">
        <f>E27/'TESLA inc. HFP  '!E12</f>
        <v>4.6331258291662417E-2</v>
      </c>
      <c r="F31" s="35">
        <f>F27/'TESLA inc. HFP  '!F12</f>
        <v>4.1013505833238609E-2</v>
      </c>
      <c r="G31" s="34"/>
      <c r="J31" s="123"/>
      <c r="K31" s="123"/>
      <c r="L31" s="123"/>
      <c r="M31" s="123"/>
      <c r="N31" s="123"/>
      <c r="O31" s="123"/>
      <c r="P31" s="123"/>
      <c r="Q31" s="123"/>
      <c r="R31" s="123"/>
      <c r="S31" s="123"/>
    </row>
    <row r="32" spans="2:19" x14ac:dyDescent="0.2">
      <c r="B32" s="20" t="s">
        <v>87</v>
      </c>
      <c r="C32" s="26"/>
      <c r="D32" s="38">
        <f>D28/'TESLA inc. HFP  '!D12</f>
        <v>6.1522562139475045E-2</v>
      </c>
      <c r="E32" s="38">
        <f>E28/'TESLA inc. HFP  '!E12</f>
        <v>5.2556383304418822E-2</v>
      </c>
      <c r="F32" s="38">
        <f>F28/'TESLA inc. HFP  '!F12</f>
        <v>4.9600611740878139E-2</v>
      </c>
      <c r="G32" s="37"/>
      <c r="J32" s="123"/>
      <c r="K32" s="123"/>
      <c r="L32" s="123"/>
      <c r="M32" s="123"/>
      <c r="N32" s="123"/>
      <c r="O32" s="123"/>
      <c r="P32" s="123"/>
      <c r="Q32" s="123"/>
      <c r="R32" s="123"/>
      <c r="S32" s="123"/>
    </row>
    <row r="33" spans="2:19" ht="34" x14ac:dyDescent="0.2">
      <c r="B33" s="56" t="s">
        <v>88</v>
      </c>
      <c r="C33" s="26"/>
      <c r="D33" s="38">
        <f>D30/'TESLA inc. HFP  '!D12</f>
        <v>0.13433937591614203</v>
      </c>
      <c r="E33" s="38">
        <f>E30/'TESLA inc. HFP  '!E12</f>
        <v>0.10586794570874579</v>
      </c>
      <c r="F33" s="38">
        <f>F30/'TESLA inc. HFP  '!F12</f>
        <v>9.0614117574116748E-2</v>
      </c>
      <c r="G33" s="37"/>
      <c r="J33" s="123"/>
      <c r="K33" s="123"/>
      <c r="L33" s="123"/>
      <c r="M33" s="123"/>
      <c r="N33" s="123"/>
      <c r="O33" s="123"/>
      <c r="P33" s="123"/>
      <c r="Q33" s="123"/>
      <c r="R33" s="123"/>
      <c r="S33" s="123"/>
    </row>
    <row r="34" spans="2:19" x14ac:dyDescent="0.2">
      <c r="J34" s="123"/>
      <c r="K34" s="123"/>
      <c r="L34" s="123"/>
      <c r="M34" s="123"/>
      <c r="N34" s="123"/>
      <c r="O34" s="123"/>
      <c r="P34" s="123"/>
      <c r="Q34" s="123"/>
      <c r="R34" s="123"/>
      <c r="S34" s="123"/>
    </row>
    <row r="35" spans="2:19" x14ac:dyDescent="0.2">
      <c r="J35" s="123"/>
      <c r="K35" s="123"/>
      <c r="L35" s="123"/>
      <c r="M35" s="123"/>
      <c r="N35" s="123"/>
      <c r="O35" s="123"/>
      <c r="P35" s="123"/>
      <c r="Q35" s="123"/>
      <c r="R35" s="123"/>
      <c r="S35" s="123"/>
    </row>
    <row r="36" spans="2:19" x14ac:dyDescent="0.2">
      <c r="J36" s="123"/>
      <c r="K36" s="123"/>
      <c r="L36" s="123"/>
      <c r="M36" s="123"/>
      <c r="N36" s="123"/>
      <c r="O36" s="123"/>
      <c r="P36" s="123"/>
      <c r="Q36" s="123"/>
      <c r="R36" s="123"/>
      <c r="S36" s="123"/>
    </row>
    <row r="37" spans="2:19" x14ac:dyDescent="0.2">
      <c r="J37" s="123"/>
      <c r="K37" s="123"/>
      <c r="L37" s="123"/>
      <c r="M37" s="123"/>
      <c r="N37" s="123"/>
      <c r="O37" s="123"/>
      <c r="P37" s="123"/>
      <c r="Q37" s="123"/>
      <c r="R37" s="123"/>
      <c r="S37" s="123"/>
    </row>
    <row r="42" spans="2:19" x14ac:dyDescent="0.2">
      <c r="B42" s="125" t="s">
        <v>90</v>
      </c>
      <c r="C42" s="126"/>
      <c r="D42" s="126"/>
      <c r="E42" s="126"/>
      <c r="F42" s="126"/>
      <c r="G42" s="127"/>
    </row>
    <row r="43" spans="2:19" x14ac:dyDescent="0.2">
      <c r="B43" s="39"/>
      <c r="C43" s="40"/>
      <c r="D43" s="40">
        <v>2025</v>
      </c>
      <c r="E43" s="40">
        <v>2024</v>
      </c>
      <c r="F43" s="40">
        <v>2023</v>
      </c>
      <c r="G43" s="46"/>
    </row>
    <row r="44" spans="2:19" x14ac:dyDescent="0.2">
      <c r="B44" s="20" t="s">
        <v>36</v>
      </c>
      <c r="D44" s="24">
        <v>94827</v>
      </c>
      <c r="E44" s="24">
        <v>97690</v>
      </c>
      <c r="F44" s="24">
        <v>96773</v>
      </c>
    </row>
    <row r="45" spans="2:19" ht="17" x14ac:dyDescent="0.2">
      <c r="B45" s="54" t="s">
        <v>91</v>
      </c>
      <c r="C45" s="26"/>
      <c r="D45" s="27">
        <v>77733</v>
      </c>
      <c r="E45" s="27">
        <v>80240</v>
      </c>
      <c r="F45" s="27">
        <v>79113</v>
      </c>
    </row>
    <row r="46" spans="2:19" ht="16" customHeight="1" x14ac:dyDescent="0.2">
      <c r="B46" s="25" t="s">
        <v>92</v>
      </c>
      <c r="C46" s="26"/>
      <c r="D46" s="24">
        <v>17094</v>
      </c>
      <c r="E46" s="24">
        <v>17450</v>
      </c>
      <c r="F46" s="24">
        <v>17660</v>
      </c>
      <c r="J46" s="136" t="s">
        <v>117</v>
      </c>
      <c r="K46" s="137"/>
      <c r="L46" s="137"/>
      <c r="M46" s="137"/>
      <c r="N46" s="137"/>
      <c r="O46" s="137"/>
      <c r="P46" s="137"/>
      <c r="Q46" s="137"/>
      <c r="R46" s="137"/>
      <c r="S46" s="137"/>
    </row>
    <row r="47" spans="2:19" ht="16" customHeight="1" x14ac:dyDescent="0.2">
      <c r="B47" s="25" t="s">
        <v>93</v>
      </c>
      <c r="C47" s="26"/>
      <c r="D47" s="17">
        <v>6411</v>
      </c>
      <c r="E47" s="17">
        <v>4540</v>
      </c>
      <c r="F47" s="17">
        <v>3969</v>
      </c>
      <c r="J47" s="137"/>
      <c r="K47" s="137"/>
      <c r="L47" s="137"/>
      <c r="M47" s="137"/>
      <c r="N47" s="137"/>
      <c r="O47" s="137"/>
      <c r="P47" s="137"/>
      <c r="Q47" s="137"/>
      <c r="R47" s="137"/>
      <c r="S47" s="137"/>
    </row>
    <row r="48" spans="2:19" ht="16" customHeight="1" x14ac:dyDescent="0.2">
      <c r="B48" s="25" t="s">
        <v>83</v>
      </c>
      <c r="D48" s="27">
        <v>5834</v>
      </c>
      <c r="E48" s="27">
        <v>5150</v>
      </c>
      <c r="F48" s="27">
        <v>4800</v>
      </c>
      <c r="J48" s="137"/>
      <c r="K48" s="137"/>
      <c r="L48" s="137"/>
      <c r="M48" s="137"/>
      <c r="N48" s="137"/>
      <c r="O48" s="137"/>
      <c r="P48" s="137"/>
      <c r="Q48" s="137"/>
      <c r="R48" s="137"/>
      <c r="S48" s="137"/>
    </row>
    <row r="49" spans="2:19" ht="16" customHeight="1" x14ac:dyDescent="0.2">
      <c r="B49" s="25" t="s">
        <v>94</v>
      </c>
      <c r="C49" s="26"/>
      <c r="D49" s="27">
        <v>494</v>
      </c>
      <c r="E49" s="27">
        <v>684</v>
      </c>
      <c r="F49" s="27">
        <v>0</v>
      </c>
      <c r="J49" s="137"/>
      <c r="K49" s="137"/>
      <c r="L49" s="137"/>
      <c r="M49" s="137"/>
      <c r="N49" s="137"/>
      <c r="O49" s="137"/>
      <c r="P49" s="137"/>
      <c r="Q49" s="137"/>
      <c r="R49" s="137"/>
      <c r="S49" s="137"/>
    </row>
    <row r="50" spans="2:19" ht="16" customHeight="1" x14ac:dyDescent="0.2">
      <c r="B50" s="25" t="s">
        <v>95</v>
      </c>
      <c r="C50" s="26"/>
      <c r="D50" s="55">
        <f>SUM(D47:D49)</f>
        <v>12739</v>
      </c>
      <c r="E50" s="55">
        <f>SUM(E47:E49)</f>
        <v>10374</v>
      </c>
      <c r="F50" s="55">
        <f>SUM(F47:F49)</f>
        <v>8769</v>
      </c>
      <c r="J50" s="137"/>
      <c r="K50" s="137"/>
      <c r="L50" s="137"/>
      <c r="M50" s="137"/>
      <c r="N50" s="137"/>
      <c r="O50" s="137"/>
      <c r="P50" s="137"/>
      <c r="Q50" s="137"/>
      <c r="R50" s="137"/>
      <c r="S50" s="137"/>
    </row>
    <row r="51" spans="2:19" ht="16" customHeight="1" x14ac:dyDescent="0.2">
      <c r="B51" s="25" t="s">
        <v>51</v>
      </c>
      <c r="C51" s="26"/>
      <c r="D51" s="28">
        <f>D46-D50</f>
        <v>4355</v>
      </c>
      <c r="E51" s="28">
        <f t="shared" ref="E51:F51" si="1">E46-E50</f>
        <v>7076</v>
      </c>
      <c r="F51" s="28">
        <f t="shared" si="1"/>
        <v>8891</v>
      </c>
      <c r="J51" s="137"/>
      <c r="K51" s="137"/>
      <c r="L51" s="137"/>
      <c r="M51" s="137"/>
      <c r="N51" s="137"/>
      <c r="O51" s="137"/>
      <c r="P51" s="137"/>
      <c r="Q51" s="137"/>
      <c r="R51" s="137"/>
      <c r="S51" s="137"/>
    </row>
    <row r="52" spans="2:19" ht="16" customHeight="1" x14ac:dyDescent="0.2">
      <c r="B52" s="25" t="s">
        <v>96</v>
      </c>
      <c r="C52" s="26"/>
      <c r="D52" s="27">
        <f>1680</f>
        <v>1680</v>
      </c>
      <c r="E52" s="27">
        <v>1569</v>
      </c>
      <c r="F52" s="27">
        <v>1066</v>
      </c>
      <c r="J52" s="137"/>
      <c r="K52" s="137"/>
      <c r="L52" s="137"/>
      <c r="M52" s="137"/>
      <c r="N52" s="137"/>
      <c r="O52" s="137"/>
      <c r="P52" s="137"/>
      <c r="Q52" s="137"/>
      <c r="R52" s="137"/>
      <c r="S52" s="137"/>
    </row>
    <row r="53" spans="2:19" ht="16" customHeight="1" x14ac:dyDescent="0.2">
      <c r="B53" s="25" t="s">
        <v>99</v>
      </c>
      <c r="C53" s="26"/>
      <c r="D53" s="28">
        <f>-338</f>
        <v>-338</v>
      </c>
      <c r="E53" s="28">
        <v>-350</v>
      </c>
      <c r="F53" s="28">
        <v>-156</v>
      </c>
      <c r="J53" s="137"/>
      <c r="K53" s="137"/>
      <c r="L53" s="137"/>
      <c r="M53" s="137"/>
      <c r="N53" s="137"/>
      <c r="O53" s="137"/>
      <c r="P53" s="137"/>
      <c r="Q53" s="137"/>
      <c r="R53" s="137"/>
      <c r="S53" s="137"/>
    </row>
    <row r="54" spans="2:19" ht="16" customHeight="1" x14ac:dyDescent="0.2">
      <c r="B54" s="25" t="s">
        <v>100</v>
      </c>
      <c r="D54" s="17">
        <v>-419</v>
      </c>
      <c r="E54" s="17">
        <v>695</v>
      </c>
      <c r="F54" s="17">
        <v>172</v>
      </c>
      <c r="H54" s="17"/>
      <c r="J54" s="137"/>
      <c r="K54" s="137"/>
      <c r="L54" s="137"/>
      <c r="M54" s="137"/>
      <c r="N54" s="137"/>
      <c r="O54" s="137"/>
      <c r="P54" s="137"/>
      <c r="Q54" s="137"/>
      <c r="R54" s="137"/>
      <c r="S54" s="137"/>
    </row>
    <row r="55" spans="2:19" ht="16" customHeight="1" x14ac:dyDescent="0.2">
      <c r="B55" s="25" t="s">
        <v>97</v>
      </c>
      <c r="C55" s="26"/>
      <c r="D55" s="27">
        <f>SUM(D51:D54)</f>
        <v>5278</v>
      </c>
      <c r="E55" s="27">
        <f t="shared" ref="E55:F55" si="2">SUM(E51:E54)</f>
        <v>8990</v>
      </c>
      <c r="F55" s="27">
        <f t="shared" si="2"/>
        <v>9973</v>
      </c>
      <c r="J55" s="137"/>
      <c r="K55" s="137"/>
      <c r="L55" s="137"/>
      <c r="M55" s="137"/>
      <c r="N55" s="137"/>
      <c r="O55" s="137"/>
      <c r="P55" s="137"/>
      <c r="Q55" s="137"/>
      <c r="R55" s="137"/>
      <c r="S55" s="137"/>
    </row>
    <row r="56" spans="2:19" ht="16" customHeight="1" x14ac:dyDescent="0.2">
      <c r="B56" s="25" t="s">
        <v>98</v>
      </c>
      <c r="C56" s="26"/>
      <c r="D56" s="27">
        <v>1423</v>
      </c>
      <c r="E56" s="27">
        <v>1837</v>
      </c>
      <c r="F56" s="27">
        <v>-5001</v>
      </c>
      <c r="J56" s="137"/>
      <c r="K56" s="137"/>
      <c r="L56" s="137"/>
      <c r="M56" s="137"/>
      <c r="N56" s="137"/>
      <c r="O56" s="137"/>
      <c r="P56" s="137"/>
      <c r="Q56" s="137"/>
      <c r="R56" s="137"/>
      <c r="S56" s="137"/>
    </row>
    <row r="57" spans="2:19" ht="16" customHeight="1" x14ac:dyDescent="0.2">
      <c r="B57" s="25" t="s">
        <v>22</v>
      </c>
      <c r="C57" s="26"/>
      <c r="D57" s="28">
        <f>D55-D56</f>
        <v>3855</v>
      </c>
      <c r="E57" s="28">
        <f t="shared" ref="E57:F57" si="3">E55-E56</f>
        <v>7153</v>
      </c>
      <c r="F57" s="28">
        <f t="shared" si="3"/>
        <v>14974</v>
      </c>
      <c r="J57" s="137"/>
      <c r="K57" s="137"/>
      <c r="L57" s="137"/>
      <c r="M57" s="137"/>
      <c r="N57" s="137"/>
      <c r="O57" s="137"/>
      <c r="P57" s="137"/>
      <c r="Q57" s="137"/>
      <c r="R57" s="137"/>
      <c r="S57" s="137"/>
    </row>
    <row r="58" spans="2:19" ht="16" customHeight="1" x14ac:dyDescent="0.2">
      <c r="J58" s="137"/>
      <c r="K58" s="137"/>
      <c r="L58" s="137"/>
      <c r="M58" s="137"/>
      <c r="N58" s="137"/>
      <c r="O58" s="137"/>
      <c r="P58" s="137"/>
      <c r="Q58" s="137"/>
      <c r="R58" s="137"/>
      <c r="S58" s="137"/>
    </row>
    <row r="59" spans="2:19" ht="16" customHeight="1" x14ac:dyDescent="0.2">
      <c r="B59" s="125" t="s">
        <v>101</v>
      </c>
      <c r="C59" s="126"/>
      <c r="D59" s="126"/>
      <c r="E59" s="126"/>
      <c r="F59" s="126"/>
      <c r="G59" s="127"/>
      <c r="J59" s="137"/>
      <c r="K59" s="137"/>
      <c r="L59" s="137"/>
      <c r="M59" s="137"/>
      <c r="N59" s="137"/>
      <c r="O59" s="137"/>
      <c r="P59" s="137"/>
      <c r="Q59" s="137"/>
      <c r="R59" s="137"/>
      <c r="S59" s="137"/>
    </row>
    <row r="60" spans="2:19" ht="16" customHeight="1" x14ac:dyDescent="0.2">
      <c r="B60" s="39"/>
      <c r="C60" s="40"/>
      <c r="D60" s="40">
        <v>2025</v>
      </c>
      <c r="E60" s="40">
        <v>2024</v>
      </c>
      <c r="F60" s="40"/>
      <c r="G60" s="46"/>
      <c r="J60" s="137"/>
      <c r="K60" s="137"/>
      <c r="L60" s="137"/>
      <c r="M60" s="137"/>
      <c r="N60" s="137"/>
      <c r="O60" s="137"/>
      <c r="P60" s="137"/>
      <c r="Q60" s="137"/>
      <c r="R60" s="137"/>
      <c r="S60" s="137"/>
    </row>
    <row r="61" spans="2:19" ht="16" customHeight="1" x14ac:dyDescent="0.2">
      <c r="B61" s="20" t="s">
        <v>63</v>
      </c>
      <c r="D61" s="24">
        <v>16513</v>
      </c>
      <c r="E61" s="24">
        <v>16139</v>
      </c>
      <c r="F61" s="24"/>
      <c r="J61" s="137"/>
      <c r="K61" s="137"/>
      <c r="L61" s="137"/>
      <c r="M61" s="137"/>
      <c r="N61" s="137"/>
      <c r="O61" s="137"/>
      <c r="P61" s="137"/>
      <c r="Q61" s="137"/>
      <c r="R61" s="137"/>
      <c r="S61" s="137"/>
    </row>
    <row r="62" spans="2:19" ht="17" x14ac:dyDescent="0.2">
      <c r="B62" s="54" t="s">
        <v>102</v>
      </c>
      <c r="C62" s="26"/>
      <c r="D62" s="49">
        <v>27546</v>
      </c>
      <c r="E62" s="49">
        <v>20424</v>
      </c>
      <c r="F62" s="27"/>
      <c r="J62" s="137"/>
      <c r="K62" s="137"/>
      <c r="L62" s="137"/>
      <c r="M62" s="137"/>
      <c r="N62" s="137"/>
      <c r="O62" s="137"/>
      <c r="P62" s="137"/>
      <c r="Q62" s="137"/>
      <c r="R62" s="137"/>
      <c r="S62" s="137"/>
    </row>
    <row r="63" spans="2:19" x14ac:dyDescent="0.2">
      <c r="B63" s="25" t="s">
        <v>103</v>
      </c>
      <c r="C63" s="26"/>
      <c r="D63" s="24">
        <v>4576</v>
      </c>
      <c r="E63" s="17">
        <v>4418</v>
      </c>
      <c r="F63" s="24"/>
      <c r="J63" s="137"/>
      <c r="K63" s="137"/>
      <c r="L63" s="137"/>
      <c r="M63" s="137"/>
      <c r="N63" s="137"/>
      <c r="O63" s="137"/>
      <c r="P63" s="137"/>
      <c r="Q63" s="137"/>
      <c r="R63" s="137"/>
      <c r="S63" s="137"/>
    </row>
    <row r="64" spans="2:19" x14ac:dyDescent="0.2">
      <c r="B64" s="25" t="s">
        <v>109</v>
      </c>
      <c r="C64" s="26"/>
      <c r="D64" s="17">
        <v>7615</v>
      </c>
      <c r="E64" s="17">
        <v>5362</v>
      </c>
      <c r="F64" s="17"/>
      <c r="J64" s="137"/>
      <c r="K64" s="137"/>
      <c r="L64" s="137"/>
      <c r="M64" s="137"/>
      <c r="N64" s="137"/>
      <c r="O64" s="137"/>
      <c r="P64" s="137"/>
      <c r="Q64" s="137"/>
      <c r="R64" s="137"/>
      <c r="S64" s="137"/>
    </row>
    <row r="65" spans="2:19" x14ac:dyDescent="0.2">
      <c r="B65" s="25" t="s">
        <v>104</v>
      </c>
      <c r="C65" s="26"/>
      <c r="D65" s="17">
        <v>12392</v>
      </c>
      <c r="E65" s="24">
        <v>12017</v>
      </c>
      <c r="F65" s="17"/>
      <c r="J65" s="137"/>
      <c r="K65" s="137"/>
      <c r="L65" s="137"/>
      <c r="M65" s="137"/>
      <c r="N65" s="137"/>
      <c r="O65" s="137"/>
      <c r="P65" s="137"/>
      <c r="Q65" s="137"/>
      <c r="R65" s="137"/>
      <c r="S65" s="137"/>
    </row>
    <row r="66" spans="2:19" x14ac:dyDescent="0.2">
      <c r="B66" s="25" t="s">
        <v>65</v>
      </c>
      <c r="D66" s="17">
        <f>SUM(D61:D65)</f>
        <v>68642</v>
      </c>
      <c r="E66" s="17">
        <f>SUM(E61:E65)</f>
        <v>58360</v>
      </c>
      <c r="F66" s="27"/>
      <c r="J66" s="137"/>
      <c r="K66" s="137"/>
      <c r="L66" s="137"/>
      <c r="M66" s="137"/>
      <c r="N66" s="137"/>
      <c r="O66" s="137"/>
      <c r="P66" s="137"/>
      <c r="Q66" s="137"/>
      <c r="R66" s="137"/>
      <c r="S66" s="137"/>
    </row>
    <row r="67" spans="2:19" x14ac:dyDescent="0.2">
      <c r="B67" s="25" t="s">
        <v>105</v>
      </c>
      <c r="C67" s="26"/>
      <c r="D67" s="27">
        <v>40643</v>
      </c>
      <c r="E67" s="27">
        <v>35836</v>
      </c>
      <c r="F67" s="27"/>
      <c r="J67" s="137"/>
      <c r="K67" s="137"/>
      <c r="L67" s="137"/>
      <c r="M67" s="137"/>
      <c r="N67" s="137"/>
      <c r="O67" s="137"/>
      <c r="P67" s="137"/>
      <c r="Q67" s="137"/>
      <c r="R67" s="137"/>
      <c r="S67" s="137"/>
    </row>
    <row r="68" spans="2:19" x14ac:dyDescent="0.2">
      <c r="B68" s="20" t="s">
        <v>110</v>
      </c>
      <c r="D68" s="17">
        <v>69164</v>
      </c>
      <c r="E68" s="18">
        <f>63710</f>
        <v>63710</v>
      </c>
      <c r="J68" s="137"/>
      <c r="K68" s="137"/>
      <c r="L68" s="137"/>
      <c r="M68" s="137"/>
      <c r="N68" s="137"/>
      <c r="O68" s="137"/>
      <c r="P68" s="137"/>
      <c r="Q68" s="137"/>
      <c r="R68" s="137"/>
      <c r="S68" s="137"/>
    </row>
    <row r="69" spans="2:19" x14ac:dyDescent="0.2">
      <c r="B69" s="25" t="s">
        <v>67</v>
      </c>
      <c r="C69" s="26"/>
      <c r="D69" s="55">
        <f>D66+D68</f>
        <v>137806</v>
      </c>
      <c r="E69" s="55">
        <f>E66+E68</f>
        <v>122070</v>
      </c>
      <c r="F69" s="55"/>
      <c r="J69" s="137"/>
      <c r="K69" s="137"/>
      <c r="L69" s="137"/>
      <c r="M69" s="137"/>
      <c r="N69" s="137"/>
      <c r="O69" s="137"/>
      <c r="P69" s="137"/>
      <c r="Q69" s="137"/>
      <c r="R69" s="137"/>
      <c r="S69" s="137"/>
    </row>
    <row r="70" spans="2:19" x14ac:dyDescent="0.2">
      <c r="B70" s="25" t="s">
        <v>66</v>
      </c>
      <c r="C70" s="26"/>
      <c r="D70" s="28">
        <v>31714</v>
      </c>
      <c r="E70" s="28">
        <v>28821</v>
      </c>
      <c r="F70" s="28"/>
    </row>
    <row r="71" spans="2:19" x14ac:dyDescent="0.2">
      <c r="B71" s="25" t="s">
        <v>111</v>
      </c>
      <c r="C71" s="26"/>
      <c r="D71" s="28">
        <v>23227</v>
      </c>
      <c r="E71" s="28">
        <v>19569</v>
      </c>
      <c r="F71" s="28"/>
    </row>
    <row r="72" spans="2:19" x14ac:dyDescent="0.2">
      <c r="B72" s="25" t="s">
        <v>106</v>
      </c>
      <c r="C72" s="26"/>
      <c r="D72" s="27">
        <v>8376</v>
      </c>
      <c r="E72" s="27">
        <v>8213</v>
      </c>
      <c r="F72" s="27"/>
    </row>
    <row r="73" spans="2:19" x14ac:dyDescent="0.2">
      <c r="B73" s="25" t="s">
        <v>107</v>
      </c>
      <c r="C73" s="52"/>
      <c r="D73" s="57">
        <f>SUM(D70,D71)</f>
        <v>54941</v>
      </c>
      <c r="E73" s="57">
        <f>SUM(E70,E71)</f>
        <v>48390</v>
      </c>
      <c r="F73" s="28"/>
    </row>
    <row r="74" spans="2:19" ht="34" x14ac:dyDescent="0.2">
      <c r="B74" s="54" t="s">
        <v>112</v>
      </c>
      <c r="C74" s="51"/>
      <c r="D74" s="58">
        <v>58</v>
      </c>
      <c r="E74" s="58">
        <v>63</v>
      </c>
      <c r="F74" s="59"/>
    </row>
    <row r="75" spans="2:19" ht="34" x14ac:dyDescent="0.2">
      <c r="B75" s="54" t="s">
        <v>113</v>
      </c>
      <c r="C75" s="51"/>
      <c r="D75" s="58">
        <v>670</v>
      </c>
      <c r="E75" s="58">
        <v>704</v>
      </c>
      <c r="F75" s="59"/>
    </row>
    <row r="76" spans="2:19" x14ac:dyDescent="0.2">
      <c r="B76" s="25" t="s">
        <v>108</v>
      </c>
      <c r="C76" s="23"/>
      <c r="D76" s="24">
        <f>D69-D73-D74-D75</f>
        <v>82137</v>
      </c>
      <c r="E76" s="24">
        <f>E69-E73-E74-E75</f>
        <v>72913</v>
      </c>
      <c r="F76" s="24"/>
    </row>
    <row r="77" spans="2:19" x14ac:dyDescent="0.2">
      <c r="D77" s="17"/>
      <c r="E77" s="17"/>
      <c r="F77" s="17"/>
    </row>
    <row r="78" spans="2:19" x14ac:dyDescent="0.2">
      <c r="B78" s="4"/>
      <c r="D78" s="17"/>
      <c r="E78" s="17"/>
      <c r="F78" s="17"/>
    </row>
    <row r="79" spans="2:19" x14ac:dyDescent="0.2">
      <c r="B79" s="125" t="s">
        <v>114</v>
      </c>
      <c r="C79" s="126"/>
      <c r="D79" s="126"/>
      <c r="E79" s="126"/>
      <c r="F79" s="126"/>
      <c r="G79" s="127"/>
    </row>
    <row r="80" spans="2:19" x14ac:dyDescent="0.2">
      <c r="B80" s="39"/>
      <c r="C80" s="40"/>
      <c r="D80" s="40">
        <v>2025</v>
      </c>
      <c r="E80" s="40">
        <v>2024</v>
      </c>
      <c r="F80" s="40">
        <v>2023</v>
      </c>
      <c r="G80" s="46"/>
    </row>
    <row r="81" spans="2:6" x14ac:dyDescent="0.2">
      <c r="B81" s="20" t="s">
        <v>115</v>
      </c>
      <c r="D81" s="24">
        <v>14747</v>
      </c>
      <c r="E81" s="24">
        <v>14923</v>
      </c>
      <c r="F81" s="24">
        <v>13256</v>
      </c>
    </row>
    <row r="82" spans="2:6" ht="17" x14ac:dyDescent="0.2">
      <c r="B82" s="54" t="s">
        <v>24</v>
      </c>
      <c r="C82" s="26"/>
      <c r="D82" s="49">
        <v>8527</v>
      </c>
      <c r="E82" s="49">
        <v>11342</v>
      </c>
      <c r="F82" s="27">
        <v>8899</v>
      </c>
    </row>
    <row r="83" spans="2:6" x14ac:dyDescent="0.2">
      <c r="B83" s="25" t="s">
        <v>116</v>
      </c>
      <c r="C83" s="26"/>
      <c r="D83" s="24">
        <f>D81-D82</f>
        <v>6220</v>
      </c>
      <c r="E83" s="24">
        <f>E81-E82</f>
        <v>3581</v>
      </c>
      <c r="F83" s="24">
        <f>F81-F82</f>
        <v>4357</v>
      </c>
    </row>
    <row r="84" spans="2:6" x14ac:dyDescent="0.2">
      <c r="B84" s="4"/>
      <c r="D84" s="17"/>
      <c r="E84" s="17"/>
      <c r="F84" s="17"/>
    </row>
    <row r="85" spans="2:6" x14ac:dyDescent="0.2">
      <c r="B85" s="4"/>
      <c r="D85" s="17"/>
      <c r="E85" s="17"/>
      <c r="F85" s="17"/>
    </row>
    <row r="86" spans="2:6" x14ac:dyDescent="0.2">
      <c r="B86" s="4"/>
      <c r="D86" s="17"/>
      <c r="E86" s="17"/>
      <c r="F86" s="17"/>
    </row>
    <row r="87" spans="2:6" x14ac:dyDescent="0.2">
      <c r="B87" s="4"/>
      <c r="D87" s="17"/>
      <c r="E87" s="17"/>
      <c r="F87" s="17"/>
    </row>
    <row r="88" spans="2:6" x14ac:dyDescent="0.2">
      <c r="B88" s="4"/>
      <c r="D88" s="17"/>
      <c r="E88" s="21"/>
    </row>
    <row r="89" spans="2:6" x14ac:dyDescent="0.2">
      <c r="B89" s="4"/>
      <c r="D89" s="60"/>
      <c r="E89" s="60"/>
      <c r="F89" s="60"/>
    </row>
    <row r="90" spans="2:6" x14ac:dyDescent="0.2">
      <c r="B90" s="4"/>
      <c r="D90" s="21"/>
      <c r="E90" s="21"/>
      <c r="F90" s="21"/>
    </row>
  </sheetData>
  <mergeCells count="8">
    <mergeCell ref="B79:G79"/>
    <mergeCell ref="J46:S69"/>
    <mergeCell ref="B42:G42"/>
    <mergeCell ref="B59:G59"/>
    <mergeCell ref="B9:G9"/>
    <mergeCell ref="J3:S18"/>
    <mergeCell ref="B25:G25"/>
    <mergeCell ref="J22:S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71B3-0E9C-2644-90A5-F8DAEECD9CE9}">
  <dimension ref="B3:U254"/>
  <sheetViews>
    <sheetView topLeftCell="A59" zoomScale="80" zoomScaleNormal="80" workbookViewId="0">
      <selection activeCell="Q221" sqref="Q221"/>
    </sheetView>
  </sheetViews>
  <sheetFormatPr baseColWidth="10" defaultRowHeight="16" x14ac:dyDescent="0.2"/>
  <cols>
    <col min="2" max="2" width="26" bestFit="1" customWidth="1"/>
    <col min="3" max="4" width="17.6640625" bestFit="1" customWidth="1"/>
    <col min="5" max="5" width="13" bestFit="1" customWidth="1"/>
    <col min="6" max="6" width="13.33203125" bestFit="1" customWidth="1"/>
    <col min="7" max="9" width="13" bestFit="1" customWidth="1"/>
  </cols>
  <sheetData>
    <row r="3" spans="2:21" x14ac:dyDescent="0.2">
      <c r="B3" s="145" t="s">
        <v>118</v>
      </c>
      <c r="C3" s="146"/>
      <c r="D3" s="146"/>
      <c r="E3" s="146"/>
      <c r="F3" s="146"/>
      <c r="G3" s="146"/>
      <c r="H3" s="146"/>
      <c r="I3" s="146"/>
      <c r="J3" s="146"/>
    </row>
    <row r="4" spans="2:21" ht="17" x14ac:dyDescent="0.2">
      <c r="B4" s="39"/>
      <c r="C4" s="40"/>
      <c r="D4" s="63" t="s">
        <v>119</v>
      </c>
      <c r="E4" s="63" t="s">
        <v>120</v>
      </c>
      <c r="F4" s="63" t="s">
        <v>121</v>
      </c>
      <c r="G4" s="63" t="s">
        <v>122</v>
      </c>
      <c r="H4" s="63" t="s">
        <v>123</v>
      </c>
      <c r="I4" s="63" t="s">
        <v>124</v>
      </c>
      <c r="J4" s="40"/>
      <c r="L4" s="149" t="s">
        <v>132</v>
      </c>
      <c r="M4" s="150"/>
      <c r="N4" s="150"/>
      <c r="O4" s="150"/>
      <c r="P4" s="150"/>
      <c r="Q4" s="150"/>
      <c r="R4" s="150"/>
      <c r="S4" s="150"/>
      <c r="T4" s="150"/>
      <c r="U4" s="150"/>
    </row>
    <row r="5" spans="2:21" x14ac:dyDescent="0.2">
      <c r="B5" s="20" t="s">
        <v>125</v>
      </c>
      <c r="D5" s="17">
        <f>69526</f>
        <v>69526</v>
      </c>
      <c r="E5" s="17">
        <f t="shared" ref="E5:I7" si="0">D5*(1+E13+$C$202)</f>
        <v>69526</v>
      </c>
      <c r="F5" s="17">
        <f t="shared" si="0"/>
        <v>72307.040000000008</v>
      </c>
      <c r="G5" s="17">
        <f t="shared" si="0"/>
        <v>76645.462400000019</v>
      </c>
      <c r="H5" s="17">
        <f t="shared" si="0"/>
        <v>82010.644768000027</v>
      </c>
      <c r="I5" s="17">
        <f t="shared" si="0"/>
        <v>87751.389901760034</v>
      </c>
      <c r="J5" s="64"/>
      <c r="K5" s="17"/>
      <c r="L5" s="150"/>
      <c r="M5" s="150"/>
      <c r="N5" s="150"/>
      <c r="O5" s="150"/>
      <c r="P5" s="150"/>
      <c r="Q5" s="150"/>
      <c r="R5" s="150"/>
      <c r="S5" s="150"/>
      <c r="T5" s="150"/>
      <c r="U5" s="150"/>
    </row>
    <row r="6" spans="2:21" ht="17" x14ac:dyDescent="0.2">
      <c r="B6" s="54" t="s">
        <v>126</v>
      </c>
      <c r="C6" s="26"/>
      <c r="D6" s="27">
        <v>12771</v>
      </c>
      <c r="E6" s="18">
        <f t="shared" si="0"/>
        <v>15325.199999999999</v>
      </c>
      <c r="F6" s="18">
        <f t="shared" si="0"/>
        <v>18696.743999999999</v>
      </c>
      <c r="G6" s="18">
        <f t="shared" si="0"/>
        <v>22436.092799999999</v>
      </c>
      <c r="H6" s="18">
        <f t="shared" si="0"/>
        <v>26474.589503999996</v>
      </c>
      <c r="I6" s="18">
        <f t="shared" si="0"/>
        <v>30445.777929599994</v>
      </c>
      <c r="J6" s="65"/>
      <c r="K6" s="17"/>
      <c r="L6" s="150"/>
      <c r="M6" s="150"/>
      <c r="N6" s="150"/>
      <c r="O6" s="150"/>
      <c r="P6" s="150"/>
      <c r="Q6" s="150"/>
      <c r="R6" s="150"/>
      <c r="S6" s="150"/>
      <c r="T6" s="150"/>
      <c r="U6" s="150"/>
    </row>
    <row r="7" spans="2:21" ht="17" x14ac:dyDescent="0.2">
      <c r="B7" s="54" t="s">
        <v>35</v>
      </c>
      <c r="C7" s="26"/>
      <c r="D7" s="27">
        <v>12530</v>
      </c>
      <c r="E7" s="18">
        <f t="shared" si="0"/>
        <v>14409.499999999998</v>
      </c>
      <c r="F7" s="18">
        <f t="shared" si="0"/>
        <v>16570.924999999996</v>
      </c>
      <c r="G7" s="18">
        <f t="shared" si="0"/>
        <v>18725.145249999994</v>
      </c>
      <c r="H7" s="18">
        <f t="shared" si="0"/>
        <v>20972.162679999994</v>
      </c>
      <c r="I7" s="18">
        <f t="shared" si="0"/>
        <v>23069.378947999994</v>
      </c>
      <c r="J7" s="65"/>
      <c r="K7" s="17"/>
      <c r="L7" s="150"/>
      <c r="M7" s="150"/>
      <c r="N7" s="150"/>
      <c r="O7" s="150"/>
      <c r="P7" s="150"/>
      <c r="Q7" s="150"/>
      <c r="R7" s="150"/>
      <c r="S7" s="150"/>
      <c r="T7" s="150"/>
      <c r="U7" s="150"/>
    </row>
    <row r="8" spans="2:21" ht="17" x14ac:dyDescent="0.2">
      <c r="B8" s="54" t="s">
        <v>36</v>
      </c>
      <c r="C8" s="26"/>
      <c r="D8" s="49">
        <f>SUM(D5:D7)</f>
        <v>94827</v>
      </c>
      <c r="E8" s="49">
        <f>SUM(E5:E7)</f>
        <v>99260.7</v>
      </c>
      <c r="F8" s="49">
        <f t="shared" ref="F8:I8" si="1">SUM(F5:F7)</f>
        <v>107574.709</v>
      </c>
      <c r="G8" s="49">
        <f t="shared" si="1"/>
        <v>117806.70045</v>
      </c>
      <c r="H8" s="49">
        <f t="shared" si="1"/>
        <v>129457.39695200002</v>
      </c>
      <c r="I8" s="49">
        <f t="shared" si="1"/>
        <v>141266.54677936001</v>
      </c>
      <c r="J8" s="66"/>
      <c r="K8" s="44"/>
      <c r="L8" s="150"/>
      <c r="M8" s="150"/>
      <c r="N8" s="150"/>
      <c r="O8" s="150"/>
      <c r="P8" s="150"/>
      <c r="Q8" s="150"/>
      <c r="R8" s="150"/>
      <c r="S8" s="150"/>
      <c r="T8" s="150"/>
      <c r="U8" s="150"/>
    </row>
    <row r="9" spans="2:21" ht="17" x14ac:dyDescent="0.2">
      <c r="B9" s="54" t="s">
        <v>127</v>
      </c>
      <c r="C9" s="23"/>
      <c r="D9" s="23"/>
      <c r="E9" s="33">
        <f>(E8/D8)-1</f>
        <v>4.6755670853237952E-2</v>
      </c>
      <c r="F9" s="33">
        <f t="shared" ref="F9:H9" si="2">(F8/E8)-1</f>
        <v>8.3759322672517955E-2</v>
      </c>
      <c r="G9" s="33">
        <f t="shared" si="2"/>
        <v>9.511521383711119E-2</v>
      </c>
      <c r="H9" s="33">
        <f t="shared" si="2"/>
        <v>9.8896721981826863E-2</v>
      </c>
      <c r="I9" s="33">
        <f>(I8/H8)-1</f>
        <v>9.1220355927120744E-2</v>
      </c>
      <c r="J9" s="37"/>
      <c r="L9" s="150"/>
      <c r="M9" s="150"/>
      <c r="N9" s="150"/>
      <c r="O9" s="150"/>
      <c r="P9" s="150"/>
      <c r="Q9" s="150"/>
      <c r="R9" s="150"/>
      <c r="S9" s="150"/>
      <c r="T9" s="150"/>
      <c r="U9" s="150"/>
    </row>
    <row r="10" spans="2:21" x14ac:dyDescent="0.2">
      <c r="L10" s="150"/>
      <c r="M10" s="150"/>
      <c r="N10" s="150"/>
      <c r="O10" s="150"/>
      <c r="P10" s="150"/>
      <c r="Q10" s="150"/>
      <c r="R10" s="150"/>
      <c r="S10" s="150"/>
      <c r="T10" s="150"/>
      <c r="U10" s="150"/>
    </row>
    <row r="11" spans="2:21" x14ac:dyDescent="0.2">
      <c r="B11" s="145" t="s">
        <v>131</v>
      </c>
      <c r="C11" s="146"/>
      <c r="D11" s="146"/>
      <c r="E11" s="146"/>
      <c r="F11" s="146"/>
      <c r="G11" s="146"/>
      <c r="H11" s="146"/>
      <c r="I11" s="146"/>
      <c r="J11" s="146"/>
      <c r="L11" s="150"/>
      <c r="M11" s="150"/>
      <c r="N11" s="150"/>
      <c r="O11" s="150"/>
      <c r="P11" s="150"/>
      <c r="Q11" s="150"/>
      <c r="R11" s="150"/>
      <c r="S11" s="150"/>
      <c r="T11" s="150"/>
      <c r="U11" s="150"/>
    </row>
    <row r="12" spans="2:21" ht="17" x14ac:dyDescent="0.2">
      <c r="B12" s="39"/>
      <c r="C12" s="40"/>
      <c r="D12" s="63" t="s">
        <v>119</v>
      </c>
      <c r="E12" s="63" t="s">
        <v>120</v>
      </c>
      <c r="F12" s="63" t="s">
        <v>121</v>
      </c>
      <c r="G12" s="63" t="s">
        <v>122</v>
      </c>
      <c r="H12" s="63" t="s">
        <v>123</v>
      </c>
      <c r="I12" s="63" t="s">
        <v>124</v>
      </c>
      <c r="J12" s="39"/>
      <c r="L12" s="150"/>
      <c r="M12" s="150"/>
      <c r="N12" s="150"/>
      <c r="O12" s="150"/>
      <c r="P12" s="150"/>
      <c r="Q12" s="150"/>
      <c r="R12" s="150"/>
      <c r="S12" s="150"/>
      <c r="T12" s="150"/>
      <c r="U12" s="150"/>
    </row>
    <row r="13" spans="2:21" ht="17" x14ac:dyDescent="0.2">
      <c r="B13" s="68" t="s">
        <v>128</v>
      </c>
      <c r="C13" s="35"/>
      <c r="D13" s="35"/>
      <c r="E13" s="35">
        <v>0</v>
      </c>
      <c r="F13" s="35">
        <v>0.04</v>
      </c>
      <c r="G13" s="69">
        <v>0.06</v>
      </c>
      <c r="H13" s="72">
        <v>7.0000000000000007E-2</v>
      </c>
      <c r="I13" s="35">
        <v>7.0000000000000007E-2</v>
      </c>
      <c r="J13" s="70"/>
      <c r="L13" s="150"/>
      <c r="M13" s="150"/>
      <c r="N13" s="150"/>
      <c r="O13" s="150"/>
      <c r="P13" s="150"/>
      <c r="Q13" s="150"/>
      <c r="R13" s="150"/>
      <c r="S13" s="150"/>
      <c r="T13" s="150"/>
      <c r="U13" s="150"/>
    </row>
    <row r="14" spans="2:21" ht="17" x14ac:dyDescent="0.2">
      <c r="B14" s="54" t="s">
        <v>129</v>
      </c>
      <c r="C14" s="38"/>
      <c r="D14" s="38"/>
      <c r="E14" s="38">
        <v>0.2</v>
      </c>
      <c r="F14" s="38">
        <v>0.22</v>
      </c>
      <c r="G14" s="69">
        <v>0.2</v>
      </c>
      <c r="H14" s="73">
        <v>0.18</v>
      </c>
      <c r="I14" s="38">
        <v>0.15</v>
      </c>
      <c r="J14" s="71"/>
      <c r="L14" s="150"/>
      <c r="M14" s="150"/>
      <c r="N14" s="150"/>
      <c r="O14" s="150"/>
      <c r="P14" s="150"/>
      <c r="Q14" s="150"/>
      <c r="R14" s="150"/>
      <c r="S14" s="150"/>
      <c r="T14" s="150"/>
      <c r="U14" s="150"/>
    </row>
    <row r="15" spans="2:21" ht="34" x14ac:dyDescent="0.2">
      <c r="B15" s="54" t="s">
        <v>130</v>
      </c>
      <c r="C15" s="38"/>
      <c r="D15" s="38"/>
      <c r="E15" s="38">
        <v>0.15</v>
      </c>
      <c r="F15" s="38">
        <v>0.15</v>
      </c>
      <c r="G15" s="69">
        <v>0.13</v>
      </c>
      <c r="H15" s="72">
        <v>0.12</v>
      </c>
      <c r="I15" s="38">
        <v>0.1</v>
      </c>
      <c r="J15" s="71"/>
    </row>
    <row r="21" spans="2:21" x14ac:dyDescent="0.2">
      <c r="K21" s="76"/>
      <c r="L21" s="151" t="s">
        <v>144</v>
      </c>
      <c r="M21" s="149"/>
      <c r="N21" s="149"/>
      <c r="O21" s="149"/>
      <c r="P21" s="149"/>
      <c r="Q21" s="149"/>
      <c r="R21" s="149"/>
      <c r="S21" s="149"/>
      <c r="T21" s="149"/>
      <c r="U21" s="149"/>
    </row>
    <row r="22" spans="2:21" ht="17" customHeight="1" x14ac:dyDescent="0.2">
      <c r="L22" s="149"/>
      <c r="M22" s="149"/>
      <c r="N22" s="149"/>
      <c r="O22" s="149"/>
      <c r="P22" s="149"/>
      <c r="Q22" s="149"/>
      <c r="R22" s="149"/>
      <c r="S22" s="149"/>
      <c r="T22" s="149"/>
      <c r="U22" s="149"/>
    </row>
    <row r="23" spans="2:21" ht="17" customHeight="1" x14ac:dyDescent="0.2">
      <c r="L23" s="149"/>
      <c r="M23" s="149"/>
      <c r="N23" s="149"/>
      <c r="O23" s="149"/>
      <c r="P23" s="149"/>
      <c r="Q23" s="149"/>
      <c r="R23" s="149"/>
      <c r="S23" s="149"/>
      <c r="T23" s="149"/>
      <c r="U23" s="149"/>
    </row>
    <row r="24" spans="2:21" ht="34" customHeight="1" x14ac:dyDescent="0.2">
      <c r="L24" s="149"/>
      <c r="M24" s="149"/>
      <c r="N24" s="149"/>
      <c r="O24" s="149"/>
      <c r="P24" s="149"/>
      <c r="Q24" s="149"/>
      <c r="R24" s="149"/>
      <c r="S24" s="149"/>
      <c r="T24" s="149"/>
      <c r="U24" s="149"/>
    </row>
    <row r="25" spans="2:21" ht="17" customHeight="1" x14ac:dyDescent="0.2">
      <c r="L25" s="149"/>
      <c r="M25" s="149"/>
      <c r="N25" s="149"/>
      <c r="O25" s="149"/>
      <c r="P25" s="149"/>
      <c r="Q25" s="149"/>
      <c r="R25" s="149"/>
      <c r="S25" s="149"/>
      <c r="T25" s="149"/>
      <c r="U25" s="149"/>
    </row>
    <row r="26" spans="2:21" ht="34" customHeight="1" x14ac:dyDescent="0.2">
      <c r="B26" s="145" t="s">
        <v>133</v>
      </c>
      <c r="C26" s="146"/>
      <c r="D26" s="146"/>
      <c r="E26" s="146"/>
      <c r="F26" s="146"/>
      <c r="G26" s="146"/>
      <c r="H26" s="146"/>
      <c r="I26" s="146"/>
      <c r="L26" s="149"/>
      <c r="M26" s="149"/>
      <c r="N26" s="149"/>
      <c r="O26" s="149"/>
      <c r="P26" s="149"/>
      <c r="Q26" s="149"/>
      <c r="R26" s="149"/>
      <c r="S26" s="149"/>
      <c r="T26" s="149"/>
      <c r="U26" s="149"/>
    </row>
    <row r="27" spans="2:21" ht="34" customHeight="1" x14ac:dyDescent="0.2">
      <c r="B27" s="39"/>
      <c r="C27" s="40"/>
      <c r="D27" s="63" t="s">
        <v>119</v>
      </c>
      <c r="E27" s="63" t="s">
        <v>120</v>
      </c>
      <c r="F27" s="63" t="s">
        <v>121</v>
      </c>
      <c r="G27" s="63" t="s">
        <v>122</v>
      </c>
      <c r="H27" s="63" t="s">
        <v>123</v>
      </c>
      <c r="I27" s="63" t="s">
        <v>124</v>
      </c>
      <c r="L27" s="149"/>
      <c r="M27" s="149"/>
      <c r="N27" s="149"/>
      <c r="O27" s="149"/>
      <c r="P27" s="149"/>
      <c r="Q27" s="149"/>
      <c r="R27" s="149"/>
      <c r="S27" s="149"/>
      <c r="T27" s="149"/>
      <c r="U27" s="149"/>
    </row>
    <row r="28" spans="2:21" ht="34" customHeight="1" x14ac:dyDescent="0.2">
      <c r="B28" s="68" t="s">
        <v>134</v>
      </c>
      <c r="D28" s="77">
        <v>94827</v>
      </c>
      <c r="E28" s="77">
        <f>E8</f>
        <v>99260.7</v>
      </c>
      <c r="F28" s="77">
        <f>F8</f>
        <v>107574.709</v>
      </c>
      <c r="G28" s="77">
        <f>G8</f>
        <v>117806.70045</v>
      </c>
      <c r="H28" s="77">
        <f>H8</f>
        <v>129457.39695200002</v>
      </c>
      <c r="I28" s="77">
        <f>I8</f>
        <v>141266.54677936001</v>
      </c>
      <c r="L28" s="149"/>
      <c r="M28" s="149"/>
      <c r="N28" s="149"/>
      <c r="O28" s="149"/>
      <c r="P28" s="149"/>
      <c r="Q28" s="149"/>
      <c r="R28" s="149"/>
      <c r="S28" s="149"/>
      <c r="T28" s="149"/>
      <c r="U28" s="149"/>
    </row>
    <row r="29" spans="2:21" ht="34" customHeight="1" x14ac:dyDescent="0.2">
      <c r="B29" s="54" t="s">
        <v>91</v>
      </c>
      <c r="C29" s="26"/>
      <c r="D29" s="27">
        <v>77733</v>
      </c>
      <c r="E29" s="27">
        <f>E28*E41</f>
        <v>80401.167000000001</v>
      </c>
      <c r="F29" s="27">
        <f t="shared" ref="F29:I29" si="3">F28*F41</f>
        <v>86059.767200000002</v>
      </c>
      <c r="G29" s="27">
        <f t="shared" si="3"/>
        <v>93067.293355500005</v>
      </c>
      <c r="H29" s="27">
        <f t="shared" si="3"/>
        <v>100976.76962256002</v>
      </c>
      <c r="I29" s="27">
        <f t="shared" si="3"/>
        <v>108775.24102010721</v>
      </c>
      <c r="L29" s="149"/>
      <c r="M29" s="149"/>
      <c r="N29" s="149"/>
      <c r="O29" s="149"/>
      <c r="P29" s="149"/>
      <c r="Q29" s="149"/>
      <c r="R29" s="149"/>
      <c r="S29" s="149"/>
      <c r="T29" s="149"/>
      <c r="U29" s="149"/>
    </row>
    <row r="30" spans="2:21" ht="34" customHeight="1" x14ac:dyDescent="0.2">
      <c r="B30" s="54" t="s">
        <v>92</v>
      </c>
      <c r="C30" s="26"/>
      <c r="D30" s="24">
        <v>17094</v>
      </c>
      <c r="E30" s="24">
        <f>E28-E29</f>
        <v>18859.532999999996</v>
      </c>
      <c r="F30" s="24">
        <f t="shared" ref="F30:I30" si="4">F28-F29</f>
        <v>21514.941800000001</v>
      </c>
      <c r="G30" s="24">
        <f t="shared" si="4"/>
        <v>24739.407094499998</v>
      </c>
      <c r="H30" s="24">
        <f t="shared" si="4"/>
        <v>28480.627329440002</v>
      </c>
      <c r="I30" s="24">
        <f t="shared" si="4"/>
        <v>32491.305759252806</v>
      </c>
      <c r="L30" s="149"/>
      <c r="M30" s="149"/>
      <c r="N30" s="149"/>
      <c r="O30" s="149"/>
      <c r="P30" s="149"/>
      <c r="Q30" s="149"/>
      <c r="R30" s="149"/>
      <c r="S30" s="149"/>
      <c r="T30" s="149"/>
      <c r="U30" s="149"/>
    </row>
    <row r="31" spans="2:21" ht="16" customHeight="1" x14ac:dyDescent="0.2">
      <c r="B31" s="54" t="s">
        <v>135</v>
      </c>
      <c r="C31" s="26"/>
      <c r="D31" s="79">
        <f>D30/D28</f>
        <v>0.18026511436616155</v>
      </c>
      <c r="E31" s="79">
        <f>E30/E28</f>
        <v>0.18999999999999997</v>
      </c>
      <c r="F31" s="79">
        <f t="shared" ref="F31:I31" si="5">F30/F28</f>
        <v>0.2</v>
      </c>
      <c r="G31" s="79">
        <f t="shared" si="5"/>
        <v>0.21</v>
      </c>
      <c r="H31" s="79">
        <f t="shared" si="5"/>
        <v>0.21999999999999997</v>
      </c>
      <c r="I31" s="79">
        <f t="shared" si="5"/>
        <v>0.23</v>
      </c>
      <c r="L31" s="149"/>
      <c r="M31" s="149"/>
      <c r="N31" s="149"/>
      <c r="O31" s="149"/>
      <c r="P31" s="149"/>
      <c r="Q31" s="149"/>
      <c r="R31" s="149"/>
      <c r="S31" s="149"/>
      <c r="T31" s="149"/>
      <c r="U31" s="149"/>
    </row>
    <row r="32" spans="2:21" ht="16" customHeight="1" x14ac:dyDescent="0.2">
      <c r="B32" s="54" t="s">
        <v>136</v>
      </c>
      <c r="D32" s="27">
        <v>6411</v>
      </c>
      <c r="E32" s="27">
        <f>E28*F42</f>
        <v>6948.2490000000007</v>
      </c>
      <c r="F32" s="27">
        <f t="shared" ref="F32:H32" si="6">F28*G42</f>
        <v>7315.0802120000008</v>
      </c>
      <c r="G32" s="27">
        <f t="shared" si="6"/>
        <v>7657.4355292500004</v>
      </c>
      <c r="H32" s="27">
        <f t="shared" si="6"/>
        <v>8026.3586110240012</v>
      </c>
      <c r="I32" s="27">
        <f>I28*I42</f>
        <v>8758.5259003203209</v>
      </c>
      <c r="L32" s="149"/>
      <c r="M32" s="149"/>
      <c r="N32" s="149"/>
      <c r="O32" s="149"/>
      <c r="P32" s="149"/>
      <c r="Q32" s="149"/>
      <c r="R32" s="149"/>
      <c r="S32" s="149"/>
      <c r="T32" s="149"/>
      <c r="U32" s="149"/>
    </row>
    <row r="33" spans="2:21" ht="17" x14ac:dyDescent="0.2">
      <c r="B33" s="54" t="s">
        <v>137</v>
      </c>
      <c r="C33" s="26"/>
      <c r="D33" s="27">
        <v>5834</v>
      </c>
      <c r="E33" s="27">
        <f>E28*E43</f>
        <v>5955.6419999999998</v>
      </c>
      <c r="F33" s="27">
        <f t="shared" ref="F33:I33" si="7">F28*F43</f>
        <v>6239.3331220000009</v>
      </c>
      <c r="G33" s="27">
        <f t="shared" si="7"/>
        <v>6597.1752252000006</v>
      </c>
      <c r="H33" s="27">
        <f t="shared" si="7"/>
        <v>6990.6994354080016</v>
      </c>
      <c r="I33" s="27">
        <f t="shared" si="7"/>
        <v>7345.8604325267206</v>
      </c>
      <c r="L33" s="149"/>
      <c r="M33" s="149"/>
      <c r="N33" s="149"/>
      <c r="O33" s="149"/>
      <c r="P33" s="149"/>
      <c r="Q33" s="149"/>
      <c r="R33" s="149"/>
      <c r="S33" s="149"/>
      <c r="T33" s="149"/>
      <c r="U33" s="149"/>
    </row>
    <row r="34" spans="2:21" ht="17" x14ac:dyDescent="0.2">
      <c r="B34" s="54" t="s">
        <v>84</v>
      </c>
      <c r="C34" s="26"/>
      <c r="D34" s="78">
        <v>494</v>
      </c>
      <c r="E34" s="55">
        <f>E44</f>
        <v>400</v>
      </c>
      <c r="F34" s="55">
        <f t="shared" ref="F34:I34" si="8">F44</f>
        <v>300</v>
      </c>
      <c r="G34" s="55">
        <f t="shared" si="8"/>
        <v>200</v>
      </c>
      <c r="H34" s="55">
        <f t="shared" si="8"/>
        <v>150</v>
      </c>
      <c r="I34" s="55">
        <f t="shared" si="8"/>
        <v>100</v>
      </c>
      <c r="L34" s="149"/>
      <c r="M34" s="149"/>
      <c r="N34" s="149"/>
      <c r="O34" s="149"/>
      <c r="P34" s="149"/>
      <c r="Q34" s="149"/>
      <c r="R34" s="149"/>
      <c r="S34" s="149"/>
      <c r="T34" s="149"/>
      <c r="U34" s="149"/>
    </row>
    <row r="35" spans="2:21" ht="17" x14ac:dyDescent="0.2">
      <c r="B35" s="54" t="s">
        <v>85</v>
      </c>
      <c r="C35" s="26"/>
      <c r="D35" s="28">
        <v>12739</v>
      </c>
      <c r="E35" s="28">
        <f>SUM(E32:E34)</f>
        <v>13303.891</v>
      </c>
      <c r="F35" s="28">
        <f t="shared" ref="F35:I35" si="9">SUM(F32:F34)</f>
        <v>13854.413334000001</v>
      </c>
      <c r="G35" s="28">
        <f t="shared" si="9"/>
        <v>14454.610754450001</v>
      </c>
      <c r="H35" s="28">
        <f t="shared" si="9"/>
        <v>15167.058046432003</v>
      </c>
      <c r="I35" s="28">
        <f t="shared" si="9"/>
        <v>16204.386332847042</v>
      </c>
      <c r="L35" s="149"/>
      <c r="M35" s="149"/>
      <c r="N35" s="149"/>
      <c r="O35" s="149"/>
      <c r="P35" s="149"/>
      <c r="Q35" s="149"/>
      <c r="R35" s="149"/>
      <c r="S35" s="149"/>
      <c r="T35" s="149"/>
      <c r="U35" s="149"/>
    </row>
    <row r="36" spans="2:21" ht="17" x14ac:dyDescent="0.2">
      <c r="B36" s="54" t="s">
        <v>51</v>
      </c>
      <c r="C36" s="26"/>
      <c r="D36" s="27">
        <v>4355</v>
      </c>
      <c r="E36" s="27">
        <f>E30-E35+E28*$C$202</f>
        <v>5555.6419999999962</v>
      </c>
      <c r="F36" s="27">
        <f t="shared" ref="F36:I36" si="10">F30-F35+F28*$C$202</f>
        <v>7660.5284659999998</v>
      </c>
      <c r="G36" s="27">
        <f t="shared" si="10"/>
        <v>10284.796340049998</v>
      </c>
      <c r="H36" s="27">
        <f t="shared" si="10"/>
        <v>13313.569283007999</v>
      </c>
      <c r="I36" s="27">
        <f t="shared" si="10"/>
        <v>16286.919426405764</v>
      </c>
      <c r="L36" s="149"/>
      <c r="M36" s="149"/>
      <c r="N36" s="149"/>
      <c r="O36" s="149"/>
      <c r="P36" s="149"/>
      <c r="Q36" s="149"/>
      <c r="R36" s="149"/>
      <c r="S36" s="149"/>
      <c r="T36" s="149"/>
      <c r="U36" s="149"/>
    </row>
    <row r="37" spans="2:21" ht="17" x14ac:dyDescent="0.2">
      <c r="B37" s="54" t="s">
        <v>138</v>
      </c>
      <c r="C37" s="26"/>
      <c r="D37" s="42">
        <f>D36/D28</f>
        <v>4.5925738450019508E-2</v>
      </c>
      <c r="E37" s="42">
        <f>E36/E28</f>
        <v>5.5970207745865141E-2</v>
      </c>
      <c r="F37" s="42">
        <f t="shared" ref="F37:I37" si="11">F36/F28</f>
        <v>7.1211240422690794E-2</v>
      </c>
      <c r="G37" s="42">
        <f t="shared" si="11"/>
        <v>8.7302303695494063E-2</v>
      </c>
      <c r="H37" s="42">
        <f t="shared" si="11"/>
        <v>0.10284131765714692</v>
      </c>
      <c r="I37" s="42">
        <f t="shared" si="11"/>
        <v>0.11529211832327023</v>
      </c>
      <c r="L37" s="149"/>
      <c r="M37" s="149"/>
      <c r="N37" s="149"/>
      <c r="O37" s="149"/>
      <c r="P37" s="149"/>
      <c r="Q37" s="149"/>
      <c r="R37" s="149"/>
      <c r="S37" s="149"/>
      <c r="T37" s="149"/>
      <c r="U37" s="149"/>
    </row>
    <row r="38" spans="2:21" x14ac:dyDescent="0.2">
      <c r="B38" s="67"/>
      <c r="D38" s="17"/>
      <c r="E38" s="17"/>
      <c r="F38" s="17"/>
      <c r="L38" s="149"/>
      <c r="M38" s="149"/>
      <c r="N38" s="149"/>
      <c r="O38" s="149"/>
      <c r="P38" s="149"/>
      <c r="Q38" s="149"/>
      <c r="R38" s="149"/>
      <c r="S38" s="149"/>
      <c r="T38" s="149"/>
      <c r="U38" s="149"/>
    </row>
    <row r="39" spans="2:21" x14ac:dyDescent="0.2">
      <c r="B39" s="145" t="s">
        <v>142</v>
      </c>
      <c r="C39" s="146"/>
      <c r="D39" s="146"/>
      <c r="E39" s="146"/>
      <c r="F39" s="146"/>
      <c r="G39" s="146"/>
      <c r="H39" s="146"/>
      <c r="I39" s="146"/>
      <c r="J39" s="146"/>
      <c r="L39" s="149"/>
      <c r="M39" s="149"/>
      <c r="N39" s="149"/>
      <c r="O39" s="149"/>
      <c r="P39" s="149"/>
      <c r="Q39" s="149"/>
      <c r="R39" s="149"/>
      <c r="S39" s="149"/>
      <c r="T39" s="149"/>
      <c r="U39" s="149"/>
    </row>
    <row r="40" spans="2:21" ht="17" x14ac:dyDescent="0.2">
      <c r="B40" s="39"/>
      <c r="C40" s="40"/>
      <c r="D40" s="63" t="s">
        <v>119</v>
      </c>
      <c r="E40" s="63" t="s">
        <v>120</v>
      </c>
      <c r="F40" s="63" t="s">
        <v>121</v>
      </c>
      <c r="G40" s="63" t="s">
        <v>122</v>
      </c>
      <c r="H40" s="63" t="s">
        <v>123</v>
      </c>
      <c r="I40" s="63" t="s">
        <v>124</v>
      </c>
      <c r="J40" s="39"/>
      <c r="L40" s="149"/>
      <c r="M40" s="149"/>
      <c r="N40" s="149"/>
      <c r="O40" s="149"/>
      <c r="P40" s="149"/>
      <c r="Q40" s="149"/>
      <c r="R40" s="149"/>
      <c r="S40" s="149"/>
      <c r="T40" s="149"/>
      <c r="U40" s="149"/>
    </row>
    <row r="41" spans="2:21" ht="17" x14ac:dyDescent="0.2">
      <c r="B41" s="68" t="s">
        <v>139</v>
      </c>
      <c r="C41" s="35"/>
      <c r="E41" s="44">
        <v>0.81</v>
      </c>
      <c r="F41" s="44">
        <v>0.8</v>
      </c>
      <c r="G41" s="44">
        <v>0.79</v>
      </c>
      <c r="H41" s="33">
        <v>0.78</v>
      </c>
      <c r="I41" s="74">
        <v>0.77</v>
      </c>
      <c r="J41" s="70"/>
      <c r="L41" s="149"/>
      <c r="M41" s="149"/>
      <c r="N41" s="149"/>
      <c r="O41" s="149"/>
      <c r="P41" s="149"/>
      <c r="Q41" s="149"/>
      <c r="R41" s="149"/>
      <c r="S41" s="149"/>
      <c r="T41" s="149"/>
      <c r="U41" s="149"/>
    </row>
    <row r="42" spans="2:21" ht="17" x14ac:dyDescent="0.2">
      <c r="B42" s="54" t="s">
        <v>140</v>
      </c>
      <c r="C42" s="38"/>
      <c r="D42" s="38"/>
      <c r="E42" s="42">
        <v>7.0000000000000007E-2</v>
      </c>
      <c r="F42" s="42">
        <v>7.0000000000000007E-2</v>
      </c>
      <c r="G42" s="33">
        <v>6.8000000000000005E-2</v>
      </c>
      <c r="H42" s="75">
        <v>6.5000000000000002E-2</v>
      </c>
      <c r="I42" s="42">
        <v>6.2E-2</v>
      </c>
      <c r="J42" s="71"/>
      <c r="L42" s="149"/>
      <c r="M42" s="149"/>
      <c r="N42" s="149"/>
      <c r="O42" s="149"/>
      <c r="P42" s="149"/>
      <c r="Q42" s="149"/>
      <c r="R42" s="149"/>
      <c r="S42" s="149"/>
      <c r="T42" s="149"/>
      <c r="U42" s="149"/>
    </row>
    <row r="43" spans="2:21" ht="17" x14ac:dyDescent="0.2">
      <c r="B43" s="54" t="s">
        <v>141</v>
      </c>
      <c r="C43" s="38"/>
      <c r="D43" s="38"/>
      <c r="E43" s="42">
        <v>0.06</v>
      </c>
      <c r="F43" s="42">
        <v>5.8000000000000003E-2</v>
      </c>
      <c r="G43" s="33">
        <v>5.6000000000000001E-2</v>
      </c>
      <c r="H43" s="74">
        <v>5.3999999999999999E-2</v>
      </c>
      <c r="I43" s="42">
        <v>5.1999999999999998E-2</v>
      </c>
      <c r="J43" s="71"/>
      <c r="L43" s="149"/>
      <c r="M43" s="149"/>
      <c r="N43" s="149"/>
      <c r="O43" s="149"/>
      <c r="P43" s="149"/>
      <c r="Q43" s="149"/>
      <c r="R43" s="149"/>
      <c r="S43" s="149"/>
      <c r="T43" s="149"/>
      <c r="U43" s="149"/>
    </row>
    <row r="44" spans="2:21" ht="17" x14ac:dyDescent="0.2">
      <c r="B44" s="84" t="s">
        <v>143</v>
      </c>
      <c r="C44" s="72"/>
      <c r="D44" s="72"/>
      <c r="E44" s="80">
        <v>400</v>
      </c>
      <c r="F44" s="80">
        <v>300</v>
      </c>
      <c r="G44" s="80">
        <v>200</v>
      </c>
      <c r="H44" s="80">
        <v>150</v>
      </c>
      <c r="I44" s="80">
        <v>100</v>
      </c>
      <c r="J44" s="72"/>
      <c r="L44" s="149"/>
      <c r="M44" s="149"/>
      <c r="N44" s="149"/>
      <c r="O44" s="149"/>
      <c r="P44" s="149"/>
      <c r="Q44" s="149"/>
      <c r="R44" s="149"/>
      <c r="S44" s="149"/>
      <c r="T44" s="149"/>
      <c r="U44" s="149"/>
    </row>
    <row r="45" spans="2:21" x14ac:dyDescent="0.2">
      <c r="L45" s="149"/>
      <c r="M45" s="149"/>
      <c r="N45" s="149"/>
      <c r="O45" s="149"/>
      <c r="P45" s="149"/>
      <c r="Q45" s="149"/>
      <c r="R45" s="149"/>
      <c r="S45" s="149"/>
      <c r="T45" s="149"/>
      <c r="U45" s="149"/>
    </row>
    <row r="46" spans="2:21" x14ac:dyDescent="0.2">
      <c r="L46" s="149"/>
      <c r="M46" s="149"/>
      <c r="N46" s="149"/>
      <c r="O46" s="149"/>
      <c r="P46" s="149"/>
      <c r="Q46" s="149"/>
      <c r="R46" s="149"/>
      <c r="S46" s="149"/>
      <c r="T46" s="149"/>
      <c r="U46" s="149"/>
    </row>
    <row r="47" spans="2:21" x14ac:dyDescent="0.2">
      <c r="L47" s="149"/>
      <c r="M47" s="149"/>
      <c r="N47" s="149"/>
      <c r="O47" s="149"/>
      <c r="P47" s="149"/>
      <c r="Q47" s="149"/>
      <c r="R47" s="149"/>
      <c r="S47" s="149"/>
      <c r="T47" s="149"/>
      <c r="U47" s="149"/>
    </row>
    <row r="50" spans="2:21" x14ac:dyDescent="0.2">
      <c r="B50" s="145" t="s">
        <v>145</v>
      </c>
      <c r="C50" s="146"/>
      <c r="D50" s="146"/>
      <c r="E50" s="146"/>
      <c r="F50" s="146"/>
      <c r="G50" s="146"/>
      <c r="H50" s="146"/>
      <c r="I50" s="146"/>
    </row>
    <row r="51" spans="2:21" ht="34" customHeight="1" x14ac:dyDescent="0.2">
      <c r="B51" s="39"/>
      <c r="C51" s="40"/>
      <c r="D51" s="63" t="s">
        <v>119</v>
      </c>
      <c r="E51" s="63" t="s">
        <v>120</v>
      </c>
      <c r="F51" s="63" t="s">
        <v>121</v>
      </c>
      <c r="G51" s="63" t="s">
        <v>122</v>
      </c>
      <c r="H51" s="63" t="s">
        <v>123</v>
      </c>
      <c r="I51" s="63" t="s">
        <v>124</v>
      </c>
      <c r="L51" s="149" t="s">
        <v>154</v>
      </c>
      <c r="M51" s="149"/>
      <c r="N51" s="149"/>
      <c r="O51" s="149"/>
      <c r="P51" s="149"/>
      <c r="Q51" s="149"/>
      <c r="R51" s="149"/>
      <c r="S51" s="149"/>
      <c r="T51" s="149"/>
      <c r="U51" s="149"/>
    </row>
    <row r="52" spans="2:21" ht="16" customHeight="1" x14ac:dyDescent="0.2">
      <c r="B52" s="20" t="s">
        <v>51</v>
      </c>
      <c r="D52" s="77">
        <f>4355</f>
        <v>4355</v>
      </c>
      <c r="E52" s="77">
        <f>E36</f>
        <v>5555.6419999999962</v>
      </c>
      <c r="F52" s="77">
        <f t="shared" ref="F52:I52" si="12">F36</f>
        <v>7660.5284659999998</v>
      </c>
      <c r="G52" s="77">
        <f t="shared" si="12"/>
        <v>10284.796340049998</v>
      </c>
      <c r="H52" s="77">
        <f t="shared" si="12"/>
        <v>13313.569283007999</v>
      </c>
      <c r="I52" s="77">
        <f t="shared" si="12"/>
        <v>16286.919426405764</v>
      </c>
      <c r="L52" s="149"/>
      <c r="M52" s="149"/>
      <c r="N52" s="149"/>
      <c r="O52" s="149"/>
      <c r="P52" s="149"/>
      <c r="Q52" s="149"/>
      <c r="R52" s="149"/>
      <c r="S52" s="149"/>
      <c r="T52" s="149"/>
      <c r="U52" s="149"/>
    </row>
    <row r="53" spans="2:21" ht="16" customHeight="1" x14ac:dyDescent="0.2">
      <c r="B53" s="25" t="s">
        <v>146</v>
      </c>
      <c r="C53" s="26"/>
      <c r="D53" s="27">
        <v>1680</v>
      </c>
      <c r="E53" s="27">
        <f>E63</f>
        <v>1600</v>
      </c>
      <c r="F53" s="27">
        <f t="shared" ref="F53:I53" si="13">F63</f>
        <v>1550</v>
      </c>
      <c r="G53" s="27">
        <f t="shared" si="13"/>
        <v>1500</v>
      </c>
      <c r="H53" s="27">
        <f t="shared" si="13"/>
        <v>1450</v>
      </c>
      <c r="I53" s="27">
        <f t="shared" si="13"/>
        <v>1400</v>
      </c>
      <c r="L53" s="149"/>
      <c r="M53" s="149"/>
      <c r="N53" s="149"/>
      <c r="O53" s="149"/>
      <c r="P53" s="149"/>
      <c r="Q53" s="149"/>
      <c r="R53" s="149"/>
      <c r="S53" s="149"/>
      <c r="T53" s="149"/>
      <c r="U53" s="149"/>
    </row>
    <row r="54" spans="2:21" ht="16" customHeight="1" x14ac:dyDescent="0.2">
      <c r="B54" s="25" t="s">
        <v>99</v>
      </c>
      <c r="C54" s="26"/>
      <c r="D54" s="24">
        <v>-338</v>
      </c>
      <c r="E54" s="24">
        <f>E64</f>
        <v>-350</v>
      </c>
      <c r="F54" s="24">
        <f t="shared" ref="F54:I54" si="14">F64</f>
        <v>-375</v>
      </c>
      <c r="G54" s="24">
        <f t="shared" si="14"/>
        <v>-400</v>
      </c>
      <c r="H54" s="24">
        <f t="shared" si="14"/>
        <v>-435</v>
      </c>
      <c r="I54" s="24">
        <f t="shared" si="14"/>
        <v>-450</v>
      </c>
      <c r="L54" s="149"/>
      <c r="M54" s="149"/>
      <c r="N54" s="149"/>
      <c r="O54" s="149"/>
      <c r="P54" s="149"/>
      <c r="Q54" s="149"/>
      <c r="R54" s="149"/>
      <c r="S54" s="149"/>
      <c r="T54" s="149"/>
      <c r="U54" s="149"/>
    </row>
    <row r="55" spans="2:21" ht="16" customHeight="1" x14ac:dyDescent="0.2">
      <c r="B55" s="25" t="s">
        <v>147</v>
      </c>
      <c r="C55" s="26"/>
      <c r="D55" s="86">
        <v>-419</v>
      </c>
      <c r="E55" s="86">
        <f>E65</f>
        <v>0</v>
      </c>
      <c r="F55" s="86">
        <f t="shared" ref="F55:I55" si="15">F65</f>
        <v>0</v>
      </c>
      <c r="G55" s="86">
        <f t="shared" si="15"/>
        <v>0</v>
      </c>
      <c r="H55" s="86">
        <f t="shared" si="15"/>
        <v>0</v>
      </c>
      <c r="I55" s="86">
        <f t="shared" si="15"/>
        <v>0</v>
      </c>
      <c r="L55" s="149"/>
      <c r="M55" s="149"/>
      <c r="N55" s="149"/>
      <c r="O55" s="149"/>
      <c r="P55" s="149"/>
      <c r="Q55" s="149"/>
      <c r="R55" s="149"/>
      <c r="S55" s="149"/>
      <c r="T55" s="149"/>
      <c r="U55" s="149"/>
    </row>
    <row r="56" spans="2:21" ht="16" customHeight="1" x14ac:dyDescent="0.2">
      <c r="B56" s="25" t="s">
        <v>97</v>
      </c>
      <c r="D56" s="86">
        <v>5278</v>
      </c>
      <c r="E56" s="86">
        <f>SUM(E52:E55)</f>
        <v>6805.6419999999962</v>
      </c>
      <c r="F56" s="86">
        <f t="shared" ref="F56:I56" si="16">SUM(F52:F55)</f>
        <v>8835.5284659999998</v>
      </c>
      <c r="G56" s="86">
        <f t="shared" si="16"/>
        <v>11384.796340049998</v>
      </c>
      <c r="H56" s="86">
        <f t="shared" si="16"/>
        <v>14328.569283007999</v>
      </c>
      <c r="I56" s="86">
        <f t="shared" si="16"/>
        <v>17236.919426405766</v>
      </c>
      <c r="L56" s="149"/>
      <c r="M56" s="149"/>
      <c r="N56" s="149"/>
      <c r="O56" s="149"/>
      <c r="P56" s="149"/>
      <c r="Q56" s="149"/>
      <c r="R56" s="149"/>
      <c r="S56" s="149"/>
      <c r="T56" s="149"/>
      <c r="U56" s="149"/>
    </row>
    <row r="57" spans="2:21" ht="16" customHeight="1" x14ac:dyDescent="0.2">
      <c r="B57" s="20" t="s">
        <v>150</v>
      </c>
      <c r="D57" s="27">
        <v>1423</v>
      </c>
      <c r="E57" s="27">
        <f>E56*E66</f>
        <v>1701.410499999999</v>
      </c>
      <c r="F57" s="27">
        <f t="shared" ref="F57:I57" si="17">F56*F66</f>
        <v>2208.8821164999999</v>
      </c>
      <c r="G57" s="27">
        <f t="shared" si="17"/>
        <v>2846.1990850124994</v>
      </c>
      <c r="H57" s="27">
        <f t="shared" si="17"/>
        <v>3582.1423207519997</v>
      </c>
      <c r="I57" s="27">
        <f t="shared" si="17"/>
        <v>4309.2298566014415</v>
      </c>
      <c r="L57" s="149"/>
      <c r="M57" s="149"/>
      <c r="N57" s="149"/>
      <c r="O57" s="149"/>
      <c r="P57" s="149"/>
      <c r="Q57" s="149"/>
      <c r="R57" s="149"/>
      <c r="S57" s="149"/>
      <c r="T57" s="149"/>
      <c r="U57" s="149"/>
    </row>
    <row r="58" spans="2:21" ht="16" customHeight="1" x14ac:dyDescent="0.2">
      <c r="B58" s="25" t="s">
        <v>148</v>
      </c>
      <c r="C58" s="26"/>
      <c r="D58" s="27">
        <f>D56-D57</f>
        <v>3855</v>
      </c>
      <c r="E58" s="27">
        <f>E56-E57</f>
        <v>5104.2314999999971</v>
      </c>
      <c r="F58" s="27">
        <f t="shared" ref="F58:I58" si="18">F56-F57</f>
        <v>6626.6463494999998</v>
      </c>
      <c r="G58" s="27">
        <f t="shared" si="18"/>
        <v>8538.5972550374972</v>
      </c>
      <c r="H58" s="27">
        <f t="shared" si="18"/>
        <v>10746.426962255999</v>
      </c>
      <c r="I58" s="27">
        <f t="shared" si="18"/>
        <v>12927.689569804324</v>
      </c>
      <c r="L58" s="149"/>
      <c r="M58" s="149"/>
      <c r="N58" s="149"/>
      <c r="O58" s="149"/>
      <c r="P58" s="149"/>
      <c r="Q58" s="149"/>
      <c r="R58" s="149"/>
      <c r="S58" s="149"/>
      <c r="T58" s="149"/>
      <c r="U58" s="149"/>
    </row>
    <row r="59" spans="2:21" ht="16" customHeight="1" x14ac:dyDescent="0.2">
      <c r="B59" s="25" t="s">
        <v>149</v>
      </c>
      <c r="C59" s="26"/>
      <c r="D59" s="87">
        <f>D58/D28</f>
        <v>4.0652978582049415E-2</v>
      </c>
      <c r="E59" s="88">
        <f>E58/E8</f>
        <v>5.1422481405027337E-2</v>
      </c>
      <c r="F59" s="88">
        <f t="shared" ref="F59:I59" si="19">F58/F8</f>
        <v>6.1600411575363868E-2</v>
      </c>
      <c r="G59" s="88">
        <f t="shared" si="19"/>
        <v>7.2479725027707428E-2</v>
      </c>
      <c r="H59" s="88">
        <f t="shared" si="19"/>
        <v>8.3011301132839388E-2</v>
      </c>
      <c r="I59" s="88">
        <f t="shared" si="19"/>
        <v>9.1512745689152408E-2</v>
      </c>
      <c r="L59" s="149"/>
      <c r="M59" s="149"/>
      <c r="N59" s="149"/>
      <c r="O59" s="149"/>
      <c r="P59" s="149"/>
      <c r="Q59" s="149"/>
      <c r="R59" s="149"/>
      <c r="S59" s="149"/>
      <c r="T59" s="149"/>
      <c r="U59" s="149"/>
    </row>
    <row r="60" spans="2:21" ht="16" customHeight="1" x14ac:dyDescent="0.2">
      <c r="B60" s="4"/>
      <c r="D60" s="21"/>
      <c r="E60" s="21"/>
      <c r="F60" s="21"/>
      <c r="G60" s="21"/>
      <c r="H60" s="21"/>
      <c r="I60" s="21"/>
      <c r="L60" s="149"/>
      <c r="M60" s="149"/>
      <c r="N60" s="149"/>
      <c r="O60" s="149"/>
      <c r="P60" s="149"/>
      <c r="Q60" s="149"/>
      <c r="R60" s="149"/>
      <c r="S60" s="149"/>
      <c r="T60" s="149"/>
      <c r="U60" s="149"/>
    </row>
    <row r="61" spans="2:21" ht="16" customHeight="1" x14ac:dyDescent="0.2">
      <c r="B61" s="145" t="s">
        <v>151</v>
      </c>
      <c r="C61" s="146"/>
      <c r="D61" s="146"/>
      <c r="E61" s="146"/>
      <c r="F61" s="146"/>
      <c r="G61" s="146"/>
      <c r="H61" s="146"/>
      <c r="I61" s="146"/>
      <c r="J61" s="146"/>
      <c r="L61" s="149"/>
      <c r="M61" s="149"/>
      <c r="N61" s="149"/>
      <c r="O61" s="149"/>
      <c r="P61" s="149"/>
      <c r="Q61" s="149"/>
      <c r="R61" s="149"/>
      <c r="S61" s="149"/>
      <c r="T61" s="149"/>
      <c r="U61" s="149"/>
    </row>
    <row r="62" spans="2:21" ht="34" customHeight="1" x14ac:dyDescent="0.2">
      <c r="B62" s="39"/>
      <c r="C62" s="40"/>
      <c r="D62" s="63" t="s">
        <v>119</v>
      </c>
      <c r="E62" s="63" t="s">
        <v>120</v>
      </c>
      <c r="F62" s="63" t="s">
        <v>121</v>
      </c>
      <c r="G62" s="63" t="s">
        <v>122</v>
      </c>
      <c r="H62" s="63" t="s">
        <v>123</v>
      </c>
      <c r="I62" s="63" t="s">
        <v>124</v>
      </c>
      <c r="J62" s="82"/>
      <c r="L62" s="149"/>
      <c r="M62" s="149"/>
      <c r="N62" s="149"/>
      <c r="O62" s="149"/>
      <c r="P62" s="149"/>
      <c r="Q62" s="149"/>
      <c r="R62" s="149"/>
      <c r="S62" s="149"/>
      <c r="T62" s="149"/>
      <c r="U62" s="149"/>
    </row>
    <row r="63" spans="2:21" ht="17" customHeight="1" x14ac:dyDescent="0.2">
      <c r="B63" s="68" t="s">
        <v>146</v>
      </c>
      <c r="C63" s="35"/>
      <c r="E63" s="21">
        <v>1600</v>
      </c>
      <c r="F63" s="21">
        <v>1550</v>
      </c>
      <c r="G63" s="59">
        <v>1500</v>
      </c>
      <c r="H63" s="59">
        <v>1450</v>
      </c>
      <c r="I63" s="80">
        <v>1400</v>
      </c>
      <c r="J63" s="35"/>
      <c r="L63" s="149"/>
      <c r="M63" s="149"/>
      <c r="N63" s="149"/>
      <c r="O63" s="149"/>
      <c r="P63" s="149"/>
      <c r="Q63" s="149"/>
      <c r="R63" s="149"/>
      <c r="S63" s="149"/>
      <c r="T63" s="149"/>
      <c r="U63" s="149"/>
    </row>
    <row r="64" spans="2:21" ht="17" customHeight="1" x14ac:dyDescent="0.2">
      <c r="B64" s="54" t="s">
        <v>99</v>
      </c>
      <c r="C64" s="38"/>
      <c r="D64" s="38"/>
      <c r="E64" s="28">
        <v>-350</v>
      </c>
      <c r="F64" s="28">
        <v>-375</v>
      </c>
      <c r="G64" s="59">
        <v>-400</v>
      </c>
      <c r="H64" s="81">
        <v>-435</v>
      </c>
      <c r="I64" s="28">
        <v>-450</v>
      </c>
      <c r="J64" s="35"/>
      <c r="L64" s="149"/>
      <c r="M64" s="149"/>
      <c r="N64" s="149"/>
      <c r="O64" s="149"/>
      <c r="P64" s="149"/>
      <c r="Q64" s="149"/>
      <c r="R64" s="149"/>
      <c r="S64" s="149"/>
      <c r="T64" s="149"/>
      <c r="U64" s="149"/>
    </row>
    <row r="65" spans="2:21" ht="34" customHeight="1" x14ac:dyDescent="0.2">
      <c r="B65" s="54" t="s">
        <v>152</v>
      </c>
      <c r="C65" s="38"/>
      <c r="D65" s="38"/>
      <c r="E65" s="28">
        <v>0</v>
      </c>
      <c r="F65" s="28">
        <v>0</v>
      </c>
      <c r="G65" s="59">
        <v>0</v>
      </c>
      <c r="H65" s="80">
        <v>0</v>
      </c>
      <c r="I65" s="28">
        <v>0</v>
      </c>
      <c r="J65" s="35"/>
      <c r="L65" s="149"/>
      <c r="M65" s="149"/>
      <c r="N65" s="149"/>
      <c r="O65" s="149"/>
      <c r="P65" s="149"/>
      <c r="Q65" s="149"/>
      <c r="R65" s="149"/>
      <c r="S65" s="149"/>
      <c r="T65" s="149"/>
      <c r="U65" s="149"/>
    </row>
    <row r="66" spans="2:21" ht="17" customHeight="1" x14ac:dyDescent="0.2">
      <c r="B66" s="84" t="s">
        <v>153</v>
      </c>
      <c r="C66" s="72"/>
      <c r="D66" s="72"/>
      <c r="E66" s="72">
        <v>0.25</v>
      </c>
      <c r="F66" s="72">
        <v>0.25</v>
      </c>
      <c r="G66" s="72">
        <v>0.25</v>
      </c>
      <c r="H66" s="72">
        <v>0.25</v>
      </c>
      <c r="I66" s="72">
        <v>0.25</v>
      </c>
      <c r="J66" s="83"/>
      <c r="L66" s="149"/>
      <c r="M66" s="149"/>
      <c r="N66" s="149"/>
      <c r="O66" s="149"/>
      <c r="P66" s="149"/>
      <c r="Q66" s="149"/>
      <c r="R66" s="149"/>
      <c r="S66" s="149"/>
      <c r="T66" s="149"/>
      <c r="U66" s="149"/>
    </row>
    <row r="67" spans="2:21" ht="16" customHeight="1" x14ac:dyDescent="0.3">
      <c r="L67" s="85"/>
      <c r="M67" s="85"/>
      <c r="N67" s="85"/>
      <c r="O67" s="85"/>
      <c r="P67" s="85"/>
      <c r="Q67" s="85"/>
      <c r="R67" s="85"/>
      <c r="S67" s="85"/>
      <c r="T67" s="85"/>
      <c r="U67" s="85"/>
    </row>
    <row r="68" spans="2:21" ht="16" customHeight="1" x14ac:dyDescent="0.3">
      <c r="L68" s="85"/>
      <c r="M68" s="85"/>
      <c r="N68" s="85"/>
      <c r="O68" s="85"/>
      <c r="P68" s="85"/>
      <c r="Q68" s="85"/>
      <c r="R68" s="85"/>
      <c r="S68" s="85"/>
      <c r="T68" s="85"/>
      <c r="U68" s="85"/>
    </row>
    <row r="69" spans="2:21" ht="16" customHeight="1" x14ac:dyDescent="0.3">
      <c r="L69" s="89"/>
      <c r="M69" s="89"/>
      <c r="N69" s="89"/>
      <c r="O69" s="89"/>
      <c r="P69" s="89"/>
      <c r="Q69" s="89"/>
      <c r="R69" s="89"/>
      <c r="S69" s="89"/>
      <c r="T69" s="89"/>
      <c r="U69" s="89"/>
    </row>
    <row r="70" spans="2:21" ht="16" customHeight="1" x14ac:dyDescent="0.3">
      <c r="L70" s="89"/>
      <c r="M70" s="89"/>
      <c r="N70" s="89"/>
      <c r="O70" s="89"/>
      <c r="P70" s="89"/>
      <c r="Q70" s="89"/>
      <c r="R70" s="89"/>
      <c r="S70" s="89"/>
      <c r="T70" s="89"/>
      <c r="U70" s="89"/>
    </row>
    <row r="71" spans="2:21" ht="16" customHeight="1" x14ac:dyDescent="0.3">
      <c r="L71" s="89"/>
      <c r="M71" s="89"/>
      <c r="N71" s="89"/>
      <c r="O71" s="89"/>
      <c r="P71" s="89"/>
      <c r="Q71" s="89"/>
      <c r="R71" s="89"/>
      <c r="S71" s="89"/>
      <c r="T71" s="89"/>
      <c r="U71" s="89"/>
    </row>
    <row r="72" spans="2:21" ht="16" customHeight="1" x14ac:dyDescent="0.3">
      <c r="B72" s="145" t="s">
        <v>155</v>
      </c>
      <c r="C72" s="146"/>
      <c r="D72" s="146"/>
      <c r="E72" s="146"/>
      <c r="F72" s="146"/>
      <c r="G72" s="146"/>
      <c r="H72" s="146"/>
      <c r="I72" s="146"/>
      <c r="L72" s="89"/>
      <c r="M72" s="89"/>
      <c r="N72" s="89"/>
      <c r="O72" s="89"/>
      <c r="P72" s="89"/>
      <c r="Q72" s="89"/>
      <c r="R72" s="89"/>
      <c r="S72" s="89"/>
      <c r="T72" s="89"/>
      <c r="U72" s="89"/>
    </row>
    <row r="73" spans="2:21" ht="36" x14ac:dyDescent="0.3">
      <c r="B73" s="39"/>
      <c r="C73" s="40"/>
      <c r="D73" s="63" t="s">
        <v>119</v>
      </c>
      <c r="E73" s="63" t="s">
        <v>120</v>
      </c>
      <c r="F73" s="63" t="s">
        <v>121</v>
      </c>
      <c r="G73" s="63" t="s">
        <v>122</v>
      </c>
      <c r="H73" s="63" t="s">
        <v>123</v>
      </c>
      <c r="I73" s="63" t="s">
        <v>124</v>
      </c>
      <c r="L73" s="89"/>
      <c r="M73" s="89"/>
      <c r="N73" s="89"/>
      <c r="O73" s="89"/>
      <c r="P73" s="89"/>
      <c r="Q73" s="89"/>
      <c r="R73" s="89"/>
      <c r="S73" s="89"/>
      <c r="T73" s="89"/>
      <c r="U73" s="89"/>
    </row>
    <row r="74" spans="2:21" ht="22" x14ac:dyDescent="0.3">
      <c r="B74" s="68" t="s">
        <v>22</v>
      </c>
      <c r="D74" s="77">
        <v>3855</v>
      </c>
      <c r="E74" s="77">
        <f>E58</f>
        <v>5104.2314999999971</v>
      </c>
      <c r="F74" s="77">
        <f t="shared" ref="F74:I74" si="20">F58</f>
        <v>6626.6463494999998</v>
      </c>
      <c r="G74" s="77">
        <f t="shared" si="20"/>
        <v>8538.5972550374972</v>
      </c>
      <c r="H74" s="77">
        <f t="shared" si="20"/>
        <v>10746.426962255999</v>
      </c>
      <c r="I74" s="77">
        <f t="shared" si="20"/>
        <v>12927.689569804324</v>
      </c>
      <c r="L74" s="89"/>
      <c r="M74" s="89"/>
      <c r="N74" s="89"/>
      <c r="O74" s="89"/>
      <c r="P74" s="89"/>
      <c r="Q74" s="89"/>
      <c r="R74" s="89"/>
      <c r="S74" s="89"/>
      <c r="T74" s="89"/>
      <c r="U74" s="89"/>
    </row>
    <row r="75" spans="2:21" ht="17" x14ac:dyDescent="0.2">
      <c r="B75" s="54" t="s">
        <v>156</v>
      </c>
      <c r="C75" s="26"/>
      <c r="D75" s="27">
        <v>6148</v>
      </c>
      <c r="E75" s="27">
        <f>E87*E28</f>
        <v>6451.9454999999998</v>
      </c>
      <c r="F75" s="27">
        <f t="shared" ref="F75:I75" si="21">F87*F28</f>
        <v>6777.2066670000004</v>
      </c>
      <c r="G75" s="27">
        <f t="shared" si="21"/>
        <v>7068.4020270000001</v>
      </c>
      <c r="H75" s="27">
        <f t="shared" si="21"/>
        <v>7508.5290232160014</v>
      </c>
      <c r="I75" s="27">
        <f t="shared" si="21"/>
        <v>7769.6600728648009</v>
      </c>
      <c r="L75" s="149" t="s">
        <v>168</v>
      </c>
      <c r="M75" s="149"/>
      <c r="N75" s="149"/>
      <c r="O75" s="149"/>
      <c r="P75" s="149"/>
      <c r="Q75" s="149"/>
      <c r="R75" s="149"/>
      <c r="S75" s="149"/>
      <c r="T75" s="149"/>
      <c r="U75" s="149"/>
    </row>
    <row r="76" spans="2:21" ht="17" x14ac:dyDescent="0.2">
      <c r="B76" s="54" t="s">
        <v>157</v>
      </c>
      <c r="C76" s="26"/>
      <c r="D76" s="24">
        <v>2825</v>
      </c>
      <c r="E76" s="24">
        <f>E88*E28</f>
        <v>2977.8209999999999</v>
      </c>
      <c r="F76" s="24">
        <f t="shared" ref="F76:I76" si="22">F88*F28</f>
        <v>3119.6665610000005</v>
      </c>
      <c r="G76" s="24">
        <f t="shared" si="22"/>
        <v>3298.5876126000003</v>
      </c>
      <c r="H76" s="24">
        <f t="shared" si="22"/>
        <v>3495.3497177040008</v>
      </c>
      <c r="I76" s="24">
        <f t="shared" si="22"/>
        <v>3531.6636694840004</v>
      </c>
      <c r="L76" s="149"/>
      <c r="M76" s="149"/>
      <c r="N76" s="149"/>
      <c r="O76" s="149"/>
      <c r="P76" s="149"/>
      <c r="Q76" s="149"/>
      <c r="R76" s="149"/>
      <c r="S76" s="149"/>
      <c r="T76" s="149"/>
      <c r="U76" s="149"/>
    </row>
    <row r="77" spans="2:21" ht="17" x14ac:dyDescent="0.2">
      <c r="B77" s="54" t="s">
        <v>158</v>
      </c>
      <c r="C77" s="26"/>
      <c r="D77" s="18">
        <v>642</v>
      </c>
      <c r="E77" s="24">
        <f>E89*E28</f>
        <v>-992.60699999999997</v>
      </c>
      <c r="F77" s="24">
        <f t="shared" ref="F77:I77" si="23">F89*F28</f>
        <v>-1075.7470900000001</v>
      </c>
      <c r="G77" s="24">
        <f t="shared" si="23"/>
        <v>-1413.6804054000002</v>
      </c>
      <c r="H77" s="24">
        <f t="shared" si="23"/>
        <v>-1553.4887634240004</v>
      </c>
      <c r="I77" s="24">
        <f t="shared" si="23"/>
        <v>-2118.9982016904</v>
      </c>
      <c r="L77" s="149"/>
      <c r="M77" s="149"/>
      <c r="N77" s="149"/>
      <c r="O77" s="149"/>
      <c r="P77" s="149"/>
      <c r="Q77" s="149"/>
      <c r="R77" s="149"/>
      <c r="S77" s="149"/>
      <c r="T77" s="149"/>
      <c r="U77" s="149"/>
    </row>
    <row r="78" spans="2:21" ht="17" x14ac:dyDescent="0.2">
      <c r="B78" s="54" t="s">
        <v>159</v>
      </c>
      <c r="D78" s="28">
        <v>1277</v>
      </c>
      <c r="E78" s="24">
        <f>E90*E28</f>
        <v>992.60699999999997</v>
      </c>
      <c r="F78" s="24">
        <f t="shared" ref="F78:I78" si="24">F90*F28</f>
        <v>1075.7470900000001</v>
      </c>
      <c r="G78" s="24">
        <f t="shared" si="24"/>
        <v>942.45360360000006</v>
      </c>
      <c r="H78" s="24">
        <f t="shared" si="24"/>
        <v>1035.6591756160003</v>
      </c>
      <c r="I78" s="24">
        <f t="shared" si="24"/>
        <v>706.33273389680005</v>
      </c>
      <c r="L78" s="149"/>
      <c r="M78" s="149"/>
      <c r="N78" s="149"/>
      <c r="O78" s="149"/>
      <c r="P78" s="149"/>
      <c r="Q78" s="149"/>
      <c r="R78" s="149"/>
      <c r="S78" s="149"/>
      <c r="T78" s="149"/>
      <c r="U78" s="149"/>
    </row>
    <row r="79" spans="2:21" ht="17" x14ac:dyDescent="0.2">
      <c r="B79" s="54" t="s">
        <v>160</v>
      </c>
      <c r="C79" s="26"/>
      <c r="D79" s="28">
        <f>SUM(D74:D78)</f>
        <v>14747</v>
      </c>
      <c r="E79" s="27">
        <f>SUM(E74:E78)</f>
        <v>14533.997999999996</v>
      </c>
      <c r="F79" s="27">
        <f t="shared" ref="F79:I79" si="25">SUM(F74:F78)</f>
        <v>16523.519577500003</v>
      </c>
      <c r="G79" s="27">
        <f t="shared" si="25"/>
        <v>18434.360092837498</v>
      </c>
      <c r="H79" s="27">
        <f t="shared" si="25"/>
        <v>21232.476115368001</v>
      </c>
      <c r="I79" s="27">
        <f t="shared" si="25"/>
        <v>22816.34784435953</v>
      </c>
      <c r="L79" s="149"/>
      <c r="M79" s="149"/>
      <c r="N79" s="149"/>
      <c r="O79" s="149"/>
      <c r="P79" s="149"/>
      <c r="Q79" s="149"/>
      <c r="R79" s="149"/>
      <c r="S79" s="149"/>
      <c r="T79" s="149"/>
      <c r="U79" s="149"/>
    </row>
    <row r="80" spans="2:21" ht="17" x14ac:dyDescent="0.2">
      <c r="B80" s="54" t="s">
        <v>24</v>
      </c>
      <c r="C80" s="26"/>
      <c r="D80" s="90">
        <v>8527</v>
      </c>
      <c r="E80" s="55">
        <f>E28*E91*(1+$C$203)</f>
        <v>11911.284</v>
      </c>
      <c r="F80" s="55">
        <f t="shared" ref="F80:I80" si="26">F28*F91*(1+$C$203)</f>
        <v>13984.712170000001</v>
      </c>
      <c r="G80" s="55">
        <f t="shared" si="26"/>
        <v>14136.804054</v>
      </c>
      <c r="H80" s="55">
        <f t="shared" si="26"/>
        <v>14240.313664720003</v>
      </c>
      <c r="I80" s="55">
        <f t="shared" si="26"/>
        <v>14126.654677936001</v>
      </c>
      <c r="L80" s="149"/>
      <c r="M80" s="149"/>
      <c r="N80" s="149"/>
      <c r="O80" s="149"/>
      <c r="P80" s="149"/>
      <c r="Q80" s="149"/>
      <c r="R80" s="149"/>
      <c r="S80" s="149"/>
      <c r="T80" s="149"/>
      <c r="U80" s="149"/>
    </row>
    <row r="81" spans="2:21" ht="17" x14ac:dyDescent="0.2">
      <c r="B81" s="54" t="s">
        <v>161</v>
      </c>
      <c r="C81" s="26"/>
      <c r="D81" s="28">
        <v>6220</v>
      </c>
      <c r="E81" s="28">
        <f>E79-E80</f>
        <v>2622.7139999999963</v>
      </c>
      <c r="F81" s="28">
        <f t="shared" ref="F81:I81" si="27">F79-F80</f>
        <v>2538.8074075000022</v>
      </c>
      <c r="G81" s="28">
        <f t="shared" si="27"/>
        <v>4297.5560388374979</v>
      </c>
      <c r="H81" s="28">
        <f t="shared" si="27"/>
        <v>6992.1624506479984</v>
      </c>
      <c r="I81" s="28">
        <f t="shared" si="27"/>
        <v>8689.693166423529</v>
      </c>
      <c r="L81" s="149"/>
      <c r="M81" s="149"/>
      <c r="N81" s="149"/>
      <c r="O81" s="149"/>
      <c r="P81" s="149"/>
      <c r="Q81" s="149"/>
      <c r="R81" s="149"/>
      <c r="S81" s="149"/>
      <c r="T81" s="149"/>
      <c r="U81" s="149"/>
    </row>
    <row r="82" spans="2:21" ht="17" x14ac:dyDescent="0.2">
      <c r="B82" s="54" t="s">
        <v>162</v>
      </c>
      <c r="C82" s="26"/>
      <c r="D82" s="42">
        <f>D81/D28</f>
        <v>6.5593132757547953E-2</v>
      </c>
      <c r="E82" s="42">
        <f>E81/E28</f>
        <v>2.6422481405027332E-2</v>
      </c>
      <c r="F82" s="42">
        <f t="shared" ref="F82:I82" si="28">F81/F28</f>
        <v>2.360041157536389E-2</v>
      </c>
      <c r="G82" s="42">
        <f t="shared" si="28"/>
        <v>3.6479725027707438E-2</v>
      </c>
      <c r="H82" s="42">
        <f t="shared" si="28"/>
        <v>5.4011301132839397E-2</v>
      </c>
      <c r="I82" s="42">
        <f t="shared" si="28"/>
        <v>6.1512745689152437E-2</v>
      </c>
      <c r="L82" s="149"/>
      <c r="M82" s="149"/>
      <c r="N82" s="149"/>
      <c r="O82" s="149"/>
      <c r="P82" s="149"/>
      <c r="Q82" s="149"/>
      <c r="R82" s="149"/>
      <c r="S82" s="149"/>
      <c r="T82" s="149"/>
      <c r="U82" s="149"/>
    </row>
    <row r="83" spans="2:21" x14ac:dyDescent="0.2">
      <c r="B83" s="54"/>
      <c r="C83" s="26"/>
      <c r="D83" s="42"/>
      <c r="E83" s="42"/>
      <c r="F83" s="42"/>
      <c r="G83" s="42"/>
      <c r="H83" s="42"/>
      <c r="I83" s="42"/>
      <c r="L83" s="149"/>
      <c r="M83" s="149"/>
      <c r="N83" s="149"/>
      <c r="O83" s="149"/>
      <c r="P83" s="149"/>
      <c r="Q83" s="149"/>
      <c r="R83" s="149"/>
      <c r="S83" s="149"/>
      <c r="T83" s="149"/>
      <c r="U83" s="149"/>
    </row>
    <row r="84" spans="2:21" x14ac:dyDescent="0.2">
      <c r="L84" s="149"/>
      <c r="M84" s="149"/>
      <c r="N84" s="149"/>
      <c r="O84" s="149"/>
      <c r="P84" s="149"/>
      <c r="Q84" s="149"/>
      <c r="R84" s="149"/>
      <c r="S84" s="149"/>
      <c r="T84" s="149"/>
      <c r="U84" s="149"/>
    </row>
    <row r="85" spans="2:21" x14ac:dyDescent="0.2">
      <c r="B85" s="145" t="s">
        <v>163</v>
      </c>
      <c r="C85" s="146"/>
      <c r="D85" s="146"/>
      <c r="E85" s="146"/>
      <c r="F85" s="146"/>
      <c r="G85" s="146"/>
      <c r="H85" s="146"/>
      <c r="I85" s="146"/>
      <c r="J85" s="146"/>
      <c r="L85" s="149"/>
      <c r="M85" s="149"/>
      <c r="N85" s="149"/>
      <c r="O85" s="149"/>
      <c r="P85" s="149"/>
      <c r="Q85" s="149"/>
      <c r="R85" s="149"/>
      <c r="S85" s="149"/>
      <c r="T85" s="149"/>
      <c r="U85" s="149"/>
    </row>
    <row r="86" spans="2:21" ht="17" x14ac:dyDescent="0.2">
      <c r="B86" s="39"/>
      <c r="C86" s="40"/>
      <c r="D86" s="63" t="s">
        <v>119</v>
      </c>
      <c r="E86" s="63" t="s">
        <v>120</v>
      </c>
      <c r="F86" s="63" t="s">
        <v>121</v>
      </c>
      <c r="G86" s="63" t="s">
        <v>122</v>
      </c>
      <c r="H86" s="63" t="s">
        <v>123</v>
      </c>
      <c r="I86" s="63" t="s">
        <v>124</v>
      </c>
      <c r="J86" s="82"/>
      <c r="L86" s="149"/>
      <c r="M86" s="149"/>
      <c r="N86" s="149"/>
      <c r="O86" s="149"/>
      <c r="P86" s="149"/>
      <c r="Q86" s="149"/>
      <c r="R86" s="149"/>
      <c r="S86" s="149"/>
      <c r="T86" s="149"/>
      <c r="U86" s="149"/>
    </row>
    <row r="87" spans="2:21" ht="17" x14ac:dyDescent="0.2">
      <c r="B87" s="68" t="s">
        <v>164</v>
      </c>
      <c r="C87" s="35"/>
      <c r="D87" s="32"/>
      <c r="E87" s="44">
        <v>6.5000000000000002E-2</v>
      </c>
      <c r="F87" s="44">
        <v>6.3E-2</v>
      </c>
      <c r="G87" s="33">
        <v>0.06</v>
      </c>
      <c r="H87" s="33">
        <v>5.8000000000000003E-2</v>
      </c>
      <c r="I87" s="74">
        <v>5.5E-2</v>
      </c>
      <c r="J87" s="35"/>
      <c r="L87" s="149"/>
      <c r="M87" s="149"/>
      <c r="N87" s="149"/>
      <c r="O87" s="149"/>
      <c r="P87" s="149"/>
      <c r="Q87" s="149"/>
      <c r="R87" s="149"/>
      <c r="S87" s="149"/>
      <c r="T87" s="149"/>
      <c r="U87" s="149"/>
    </row>
    <row r="88" spans="2:21" ht="17" x14ac:dyDescent="0.2">
      <c r="B88" s="54" t="s">
        <v>165</v>
      </c>
      <c r="C88" s="38"/>
      <c r="D88" s="38"/>
      <c r="E88" s="42">
        <v>0.03</v>
      </c>
      <c r="F88" s="42">
        <v>2.9000000000000001E-2</v>
      </c>
      <c r="G88" s="33">
        <v>2.8000000000000001E-2</v>
      </c>
      <c r="H88" s="75">
        <v>2.7E-2</v>
      </c>
      <c r="I88" s="42">
        <v>2.5000000000000001E-2</v>
      </c>
      <c r="J88" s="35"/>
      <c r="L88" s="149"/>
      <c r="M88" s="149"/>
      <c r="N88" s="149"/>
      <c r="O88" s="149"/>
      <c r="P88" s="149"/>
      <c r="Q88" s="149"/>
      <c r="R88" s="149"/>
      <c r="S88" s="149"/>
      <c r="T88" s="149"/>
      <c r="U88" s="149"/>
    </row>
    <row r="89" spans="2:21" ht="17" x14ac:dyDescent="0.2">
      <c r="B89" s="54" t="s">
        <v>166</v>
      </c>
      <c r="C89" s="38"/>
      <c r="D89" s="38"/>
      <c r="E89" s="42">
        <v>-0.01</v>
      </c>
      <c r="F89" s="42">
        <v>-0.01</v>
      </c>
      <c r="G89" s="33">
        <v>-1.2E-2</v>
      </c>
      <c r="H89" s="74">
        <v>-1.2E-2</v>
      </c>
      <c r="I89" s="42">
        <v>-1.4999999999999999E-2</v>
      </c>
      <c r="J89" s="35"/>
      <c r="L89" s="149"/>
      <c r="M89" s="149"/>
      <c r="N89" s="149"/>
      <c r="O89" s="149"/>
      <c r="P89" s="149"/>
      <c r="Q89" s="149"/>
      <c r="R89" s="149"/>
      <c r="S89" s="149"/>
      <c r="T89" s="149"/>
      <c r="U89" s="149"/>
    </row>
    <row r="90" spans="2:21" ht="17" x14ac:dyDescent="0.2">
      <c r="B90" s="84" t="s">
        <v>167</v>
      </c>
      <c r="C90" s="72"/>
      <c r="D90" s="72"/>
      <c r="E90" s="74">
        <v>0.01</v>
      </c>
      <c r="F90" s="74">
        <v>0.01</v>
      </c>
      <c r="G90" s="74">
        <v>8.0000000000000002E-3</v>
      </c>
      <c r="H90" s="74">
        <v>8.0000000000000002E-3</v>
      </c>
      <c r="I90" s="74">
        <v>5.0000000000000001E-3</v>
      </c>
      <c r="J90" s="83"/>
      <c r="L90" s="149"/>
      <c r="M90" s="149"/>
      <c r="N90" s="149"/>
      <c r="O90" s="149"/>
      <c r="P90" s="149"/>
      <c r="Q90" s="149"/>
      <c r="R90" s="149"/>
      <c r="S90" s="149"/>
      <c r="T90" s="149"/>
      <c r="U90" s="149"/>
    </row>
    <row r="91" spans="2:21" ht="34" x14ac:dyDescent="0.2">
      <c r="B91" s="56" t="s">
        <v>24</v>
      </c>
      <c r="C91" s="23"/>
      <c r="D91" s="69"/>
      <c r="E91" s="33">
        <v>0.12</v>
      </c>
      <c r="F91" s="33">
        <v>0.13</v>
      </c>
      <c r="G91" s="33">
        <v>0.12</v>
      </c>
      <c r="H91" s="33">
        <v>0.11</v>
      </c>
      <c r="I91" s="33">
        <v>0.1</v>
      </c>
    </row>
    <row r="95" spans="2:21" x14ac:dyDescent="0.2">
      <c r="B95" s="145" t="s">
        <v>169</v>
      </c>
      <c r="C95" s="146"/>
      <c r="D95" s="146"/>
      <c r="E95" s="146"/>
      <c r="F95" s="146"/>
      <c r="G95" s="146"/>
      <c r="H95" s="146"/>
      <c r="I95" s="146"/>
    </row>
    <row r="96" spans="2:21" ht="34" x14ac:dyDescent="0.2">
      <c r="B96" s="39"/>
      <c r="C96" s="40"/>
      <c r="D96" s="63" t="s">
        <v>119</v>
      </c>
      <c r="E96" s="63" t="s">
        <v>120</v>
      </c>
      <c r="F96" s="63" t="s">
        <v>121</v>
      </c>
      <c r="G96" s="63" t="s">
        <v>122</v>
      </c>
      <c r="H96" s="63" t="s">
        <v>123</v>
      </c>
      <c r="I96" s="63" t="s">
        <v>124</v>
      </c>
    </row>
    <row r="97" spans="2:21" ht="17" x14ac:dyDescent="0.2">
      <c r="B97" s="68" t="s">
        <v>170</v>
      </c>
      <c r="D97" s="77"/>
      <c r="E97" s="91">
        <f>E36</f>
        <v>5555.6419999999962</v>
      </c>
      <c r="F97" s="91">
        <f t="shared" ref="F97:I97" si="29">F36</f>
        <v>7660.5284659999998</v>
      </c>
      <c r="G97" s="91">
        <f t="shared" si="29"/>
        <v>10284.796340049998</v>
      </c>
      <c r="H97" s="91">
        <f t="shared" si="29"/>
        <v>13313.569283007999</v>
      </c>
      <c r="I97" s="91">
        <f t="shared" si="29"/>
        <v>16286.919426405764</v>
      </c>
    </row>
    <row r="98" spans="2:21" ht="17" x14ac:dyDescent="0.2">
      <c r="B98" s="54" t="s">
        <v>171</v>
      </c>
      <c r="C98" s="26"/>
      <c r="D98" s="27"/>
      <c r="E98" s="92">
        <f>E66</f>
        <v>0.25</v>
      </c>
      <c r="F98" s="92">
        <f t="shared" ref="F98:I98" si="30">F66</f>
        <v>0.25</v>
      </c>
      <c r="G98" s="92">
        <f t="shared" si="30"/>
        <v>0.25</v>
      </c>
      <c r="H98" s="92">
        <f t="shared" si="30"/>
        <v>0.25</v>
      </c>
      <c r="I98" s="92">
        <f t="shared" si="30"/>
        <v>0.25</v>
      </c>
    </row>
    <row r="99" spans="2:21" ht="17" x14ac:dyDescent="0.2">
      <c r="B99" s="54" t="s">
        <v>172</v>
      </c>
      <c r="C99" s="26"/>
      <c r="D99" s="24"/>
      <c r="E99" s="59">
        <f>E97*E98</f>
        <v>1388.910499999999</v>
      </c>
      <c r="F99" s="59">
        <f t="shared" ref="F99:I99" si="31">F97*F98</f>
        <v>1915.1321164999999</v>
      </c>
      <c r="G99" s="59">
        <f t="shared" si="31"/>
        <v>2571.1990850124994</v>
      </c>
      <c r="H99" s="59">
        <f t="shared" si="31"/>
        <v>3328.3923207519997</v>
      </c>
      <c r="I99" s="59">
        <f t="shared" si="31"/>
        <v>4071.729856601441</v>
      </c>
    </row>
    <row r="100" spans="2:21" ht="17" x14ac:dyDescent="0.2">
      <c r="B100" s="54" t="s">
        <v>173</v>
      </c>
      <c r="C100" s="26"/>
      <c r="D100" s="18"/>
      <c r="E100" s="59">
        <f>E97-E99</f>
        <v>4166.7314999999971</v>
      </c>
      <c r="F100" s="59">
        <f t="shared" ref="F100:I100" si="32">F97-F99</f>
        <v>5745.3963494999998</v>
      </c>
      <c r="G100" s="59">
        <f t="shared" si="32"/>
        <v>7713.5972550374981</v>
      </c>
      <c r="H100" s="59">
        <f t="shared" si="32"/>
        <v>9985.1769622559987</v>
      </c>
      <c r="I100" s="59">
        <f t="shared" si="32"/>
        <v>12215.189569804323</v>
      </c>
    </row>
    <row r="101" spans="2:21" ht="17" x14ac:dyDescent="0.2">
      <c r="B101" s="54" t="s">
        <v>174</v>
      </c>
      <c r="D101" s="28"/>
      <c r="E101" s="59">
        <f>E75</f>
        <v>6451.9454999999998</v>
      </c>
      <c r="F101" s="59">
        <f t="shared" ref="F101:I101" si="33">F75</f>
        <v>6777.2066670000004</v>
      </c>
      <c r="G101" s="59">
        <f t="shared" si="33"/>
        <v>7068.4020270000001</v>
      </c>
      <c r="H101" s="59">
        <f t="shared" si="33"/>
        <v>7508.5290232160014</v>
      </c>
      <c r="I101" s="59">
        <f t="shared" si="33"/>
        <v>7769.6600728648009</v>
      </c>
    </row>
    <row r="102" spans="2:21" ht="17" x14ac:dyDescent="0.2">
      <c r="B102" s="54" t="s">
        <v>165</v>
      </c>
      <c r="C102" s="26"/>
      <c r="D102" s="28"/>
      <c r="E102" s="28">
        <f>E76</f>
        <v>2977.8209999999999</v>
      </c>
      <c r="F102" s="28">
        <f t="shared" ref="F102:I102" si="34">F76</f>
        <v>3119.6665610000005</v>
      </c>
      <c r="G102" s="28">
        <f t="shared" si="34"/>
        <v>3298.5876126000003</v>
      </c>
      <c r="H102" s="28">
        <f t="shared" si="34"/>
        <v>3495.3497177040008</v>
      </c>
      <c r="I102" s="28">
        <f t="shared" si="34"/>
        <v>3531.6636694840004</v>
      </c>
    </row>
    <row r="103" spans="2:21" ht="17" customHeight="1" x14ac:dyDescent="0.2">
      <c r="B103" s="54" t="s">
        <v>158</v>
      </c>
      <c r="C103" s="26"/>
      <c r="D103" s="90"/>
      <c r="E103" s="57">
        <f>E77</f>
        <v>-992.60699999999997</v>
      </c>
      <c r="F103" s="57">
        <f t="shared" ref="F103:I103" si="35">F77</f>
        <v>-1075.7470900000001</v>
      </c>
      <c r="G103" s="57">
        <f t="shared" si="35"/>
        <v>-1413.6804054000002</v>
      </c>
      <c r="H103" s="57">
        <f t="shared" si="35"/>
        <v>-1553.4887634240004</v>
      </c>
      <c r="I103" s="57">
        <f t="shared" si="35"/>
        <v>-2118.9982016904</v>
      </c>
      <c r="L103" s="141" t="s">
        <v>214</v>
      </c>
      <c r="M103" s="141"/>
      <c r="N103" s="141"/>
      <c r="O103" s="141"/>
      <c r="P103" s="141"/>
      <c r="Q103" s="141"/>
      <c r="R103" s="141"/>
      <c r="S103" s="141"/>
      <c r="T103" s="141"/>
      <c r="U103" s="141"/>
    </row>
    <row r="104" spans="2:21" ht="17" customHeight="1" x14ac:dyDescent="0.2">
      <c r="B104" s="54" t="s">
        <v>175</v>
      </c>
      <c r="C104" s="26"/>
      <c r="D104" s="28"/>
      <c r="E104" s="28">
        <f>E78</f>
        <v>992.60699999999997</v>
      </c>
      <c r="F104" s="28">
        <f t="shared" ref="F104:I104" si="36">F78</f>
        <v>1075.7470900000001</v>
      </c>
      <c r="G104" s="28">
        <f t="shared" si="36"/>
        <v>942.45360360000006</v>
      </c>
      <c r="H104" s="28">
        <f t="shared" si="36"/>
        <v>1035.6591756160003</v>
      </c>
      <c r="I104" s="28">
        <f t="shared" si="36"/>
        <v>706.33273389680005</v>
      </c>
      <c r="L104" s="141"/>
      <c r="M104" s="141"/>
      <c r="N104" s="141"/>
      <c r="O104" s="141"/>
      <c r="P104" s="141"/>
      <c r="Q104" s="141"/>
      <c r="R104" s="141"/>
      <c r="S104" s="141"/>
      <c r="T104" s="141"/>
      <c r="U104" s="141"/>
    </row>
    <row r="105" spans="2:21" ht="17" customHeight="1" x14ac:dyDescent="0.2">
      <c r="B105" s="54" t="s">
        <v>24</v>
      </c>
      <c r="C105" s="26"/>
      <c r="D105" s="42"/>
      <c r="E105" s="28">
        <f>E80</f>
        <v>11911.284</v>
      </c>
      <c r="F105" s="28">
        <f t="shared" ref="F105:I105" si="37">F80</f>
        <v>13984.712170000001</v>
      </c>
      <c r="G105" s="28">
        <f t="shared" si="37"/>
        <v>14136.804054</v>
      </c>
      <c r="H105" s="28">
        <f t="shared" si="37"/>
        <v>14240.313664720003</v>
      </c>
      <c r="I105" s="28">
        <f t="shared" si="37"/>
        <v>14126.654677936001</v>
      </c>
      <c r="L105" s="141"/>
      <c r="M105" s="141"/>
      <c r="N105" s="141"/>
      <c r="O105" s="141"/>
      <c r="P105" s="141"/>
      <c r="Q105" s="141"/>
      <c r="R105" s="141"/>
      <c r="S105" s="141"/>
      <c r="T105" s="141"/>
      <c r="U105" s="141"/>
    </row>
    <row r="106" spans="2:21" ht="17" customHeight="1" x14ac:dyDescent="0.2">
      <c r="B106" s="54" t="s">
        <v>176</v>
      </c>
      <c r="C106" s="26"/>
      <c r="D106" s="42"/>
      <c r="E106" s="28">
        <f>SUM(E100:E104)-E105</f>
        <v>1685.2139999999963</v>
      </c>
      <c r="F106" s="28">
        <f t="shared" ref="F106:I106" si="38">SUM(F100:F104)-F105</f>
        <v>1657.5574075000004</v>
      </c>
      <c r="G106" s="28">
        <f t="shared" si="38"/>
        <v>3472.5560388374979</v>
      </c>
      <c r="H106" s="28">
        <f t="shared" si="38"/>
        <v>6230.9124506479984</v>
      </c>
      <c r="I106" s="28">
        <f t="shared" si="38"/>
        <v>7977.1931664235253</v>
      </c>
      <c r="L106" s="141"/>
      <c r="M106" s="141"/>
      <c r="N106" s="141"/>
      <c r="O106" s="141"/>
      <c r="P106" s="141"/>
      <c r="Q106" s="141"/>
      <c r="R106" s="141"/>
      <c r="S106" s="141"/>
      <c r="T106" s="141"/>
      <c r="U106" s="141"/>
    </row>
    <row r="107" spans="2:21" ht="16" customHeight="1" x14ac:dyDescent="0.2">
      <c r="L107" s="141"/>
      <c r="M107" s="141"/>
      <c r="N107" s="141"/>
      <c r="O107" s="141"/>
      <c r="P107" s="141"/>
      <c r="Q107" s="141"/>
      <c r="R107" s="141"/>
      <c r="S107" s="141"/>
      <c r="T107" s="141"/>
      <c r="U107" s="141"/>
    </row>
    <row r="108" spans="2:21" ht="16" customHeight="1" x14ac:dyDescent="0.2">
      <c r="L108" s="141"/>
      <c r="M108" s="141"/>
      <c r="N108" s="141"/>
      <c r="O108" s="141"/>
      <c r="P108" s="141"/>
      <c r="Q108" s="141"/>
      <c r="R108" s="141"/>
      <c r="S108" s="141"/>
      <c r="T108" s="141"/>
      <c r="U108" s="141"/>
    </row>
    <row r="109" spans="2:21" ht="16" customHeight="1" x14ac:dyDescent="0.2">
      <c r="L109" s="141"/>
      <c r="M109" s="141"/>
      <c r="N109" s="141"/>
      <c r="O109" s="141"/>
      <c r="P109" s="141"/>
      <c r="Q109" s="141"/>
      <c r="R109" s="141"/>
      <c r="S109" s="141"/>
      <c r="T109" s="141"/>
      <c r="U109" s="141"/>
    </row>
    <row r="110" spans="2:21" ht="16" customHeight="1" x14ac:dyDescent="0.2">
      <c r="B110" s="147" t="s">
        <v>177</v>
      </c>
      <c r="C110" s="148"/>
      <c r="D110" s="148"/>
      <c r="E110" s="148"/>
      <c r="F110" s="4"/>
      <c r="G110" s="4"/>
      <c r="H110" s="4"/>
      <c r="I110" s="4"/>
      <c r="L110" s="141"/>
      <c r="M110" s="141"/>
      <c r="N110" s="141"/>
      <c r="O110" s="141"/>
      <c r="P110" s="141"/>
      <c r="Q110" s="141"/>
      <c r="R110" s="141"/>
      <c r="S110" s="141"/>
      <c r="T110" s="141"/>
      <c r="U110" s="141"/>
    </row>
    <row r="111" spans="2:21" ht="16" customHeight="1" x14ac:dyDescent="0.2">
      <c r="B111" s="94"/>
      <c r="C111" s="93"/>
      <c r="D111" s="93" t="s">
        <v>189</v>
      </c>
      <c r="E111" s="93"/>
      <c r="L111" s="141"/>
      <c r="M111" s="141"/>
      <c r="N111" s="141"/>
      <c r="O111" s="141"/>
      <c r="P111" s="141"/>
      <c r="Q111" s="141"/>
      <c r="R111" s="141"/>
      <c r="S111" s="141"/>
      <c r="T111" s="141"/>
      <c r="U111" s="141"/>
    </row>
    <row r="112" spans="2:21" ht="16" customHeight="1" x14ac:dyDescent="0.2">
      <c r="B112" s="95" t="s">
        <v>178</v>
      </c>
      <c r="D112" s="32">
        <v>5.1200000000000002E-2</v>
      </c>
      <c r="L112" s="141"/>
      <c r="M112" s="141"/>
      <c r="N112" s="141"/>
      <c r="O112" s="141"/>
      <c r="P112" s="141"/>
      <c r="Q112" s="141"/>
      <c r="R112" s="141"/>
      <c r="S112" s="141"/>
      <c r="T112" s="141"/>
      <c r="U112" s="141"/>
    </row>
    <row r="113" spans="2:21" ht="16" customHeight="1" x14ac:dyDescent="0.2">
      <c r="B113" s="95" t="s">
        <v>179</v>
      </c>
      <c r="D113" s="32">
        <v>5.5E-2</v>
      </c>
      <c r="L113" s="141"/>
      <c r="M113" s="141"/>
      <c r="N113" s="141"/>
      <c r="O113" s="141"/>
      <c r="P113" s="141"/>
      <c r="Q113" s="141"/>
      <c r="R113" s="141"/>
      <c r="S113" s="141"/>
      <c r="T113" s="141"/>
      <c r="U113" s="141"/>
    </row>
    <row r="114" spans="2:21" ht="16" customHeight="1" x14ac:dyDescent="0.2">
      <c r="B114" s="95" t="s">
        <v>180</v>
      </c>
      <c r="D114" s="96">
        <v>2</v>
      </c>
      <c r="L114" s="141"/>
      <c r="M114" s="141"/>
      <c r="N114" s="141"/>
      <c r="O114" s="141"/>
      <c r="P114" s="141"/>
      <c r="Q114" s="141"/>
      <c r="R114" s="141"/>
      <c r="S114" s="141"/>
      <c r="T114" s="141"/>
      <c r="U114" s="141"/>
    </row>
    <row r="115" spans="2:21" ht="16" customHeight="1" x14ac:dyDescent="0.2">
      <c r="B115" s="95" t="s">
        <v>181</v>
      </c>
      <c r="D115" s="79">
        <f>D112+D114*D113</f>
        <v>0.16120000000000001</v>
      </c>
      <c r="L115" s="141"/>
      <c r="M115" s="141"/>
      <c r="N115" s="141"/>
      <c r="O115" s="141"/>
      <c r="P115" s="141"/>
      <c r="Q115" s="141"/>
      <c r="R115" s="141"/>
      <c r="S115" s="141"/>
      <c r="T115" s="141"/>
      <c r="U115" s="141"/>
    </row>
    <row r="116" spans="2:21" ht="16" customHeight="1" x14ac:dyDescent="0.2">
      <c r="B116" s="95" t="s">
        <v>182</v>
      </c>
      <c r="D116" s="32">
        <v>0.05</v>
      </c>
      <c r="L116" s="141"/>
      <c r="M116" s="141"/>
      <c r="N116" s="141"/>
      <c r="O116" s="141"/>
      <c r="P116" s="141"/>
      <c r="Q116" s="141"/>
      <c r="R116" s="141"/>
      <c r="S116" s="141"/>
      <c r="T116" s="141"/>
      <c r="U116" s="141"/>
    </row>
    <row r="117" spans="2:21" ht="16" customHeight="1" x14ac:dyDescent="0.2">
      <c r="B117" s="95" t="s">
        <v>183</v>
      </c>
      <c r="D117" s="32">
        <v>0.25</v>
      </c>
      <c r="L117" s="141"/>
      <c r="M117" s="141"/>
      <c r="N117" s="141"/>
      <c r="O117" s="141"/>
      <c r="P117" s="141"/>
      <c r="Q117" s="141"/>
      <c r="R117" s="141"/>
      <c r="S117" s="141"/>
      <c r="T117" s="141"/>
      <c r="U117" s="141"/>
    </row>
    <row r="118" spans="2:21" ht="16" customHeight="1" x14ac:dyDescent="0.2">
      <c r="B118" s="95" t="s">
        <v>184</v>
      </c>
      <c r="D118" s="32">
        <v>0.95</v>
      </c>
      <c r="L118" s="141"/>
      <c r="M118" s="141"/>
      <c r="N118" s="141"/>
      <c r="O118" s="141"/>
      <c r="P118" s="141"/>
      <c r="Q118" s="141"/>
      <c r="R118" s="141"/>
      <c r="S118" s="141"/>
      <c r="T118" s="141"/>
      <c r="U118" s="141"/>
    </row>
    <row r="119" spans="2:21" ht="16" customHeight="1" x14ac:dyDescent="0.2">
      <c r="B119" s="95" t="s">
        <v>185</v>
      </c>
      <c r="D119" s="32">
        <v>0.05</v>
      </c>
      <c r="L119" s="141"/>
      <c r="M119" s="141"/>
      <c r="N119" s="141"/>
      <c r="O119" s="141"/>
      <c r="P119" s="141"/>
      <c r="Q119" s="141"/>
      <c r="R119" s="141"/>
      <c r="S119" s="141"/>
      <c r="T119" s="141"/>
      <c r="U119" s="141"/>
    </row>
    <row r="120" spans="2:21" ht="16" customHeight="1" x14ac:dyDescent="0.2">
      <c r="B120" s="95" t="s">
        <v>186</v>
      </c>
      <c r="D120" s="32">
        <f>D116*(1-D117)</f>
        <v>3.7500000000000006E-2</v>
      </c>
      <c r="L120" s="141"/>
      <c r="M120" s="141"/>
      <c r="N120" s="141"/>
      <c r="O120" s="141"/>
      <c r="P120" s="141"/>
      <c r="Q120" s="141"/>
      <c r="R120" s="141"/>
      <c r="S120" s="141"/>
      <c r="T120" s="141"/>
      <c r="U120" s="141"/>
    </row>
    <row r="121" spans="2:21" ht="16" customHeight="1" x14ac:dyDescent="0.2">
      <c r="B121" s="95" t="s">
        <v>187</v>
      </c>
      <c r="D121" s="79">
        <f>D115*D118+D120*D119</f>
        <v>0.15501499999999999</v>
      </c>
      <c r="L121" s="141"/>
      <c r="M121" s="141"/>
      <c r="N121" s="141"/>
      <c r="O121" s="141"/>
      <c r="P121" s="141"/>
      <c r="Q121" s="141"/>
      <c r="R121" s="141"/>
      <c r="S121" s="141"/>
      <c r="T121" s="141"/>
      <c r="U121" s="141"/>
    </row>
    <row r="122" spans="2:21" ht="16" customHeight="1" x14ac:dyDescent="0.2">
      <c r="B122" s="95" t="s">
        <v>188</v>
      </c>
      <c r="D122" s="32">
        <v>0.03</v>
      </c>
      <c r="L122" s="141"/>
      <c r="M122" s="141"/>
      <c r="N122" s="141"/>
      <c r="O122" s="141"/>
      <c r="P122" s="141"/>
      <c r="Q122" s="141"/>
      <c r="R122" s="141"/>
      <c r="S122" s="141"/>
      <c r="T122" s="141"/>
      <c r="U122" s="141"/>
    </row>
    <row r="123" spans="2:21" ht="16" customHeight="1" x14ac:dyDescent="0.2">
      <c r="L123" s="141"/>
      <c r="M123" s="141"/>
      <c r="N123" s="141"/>
      <c r="O123" s="141"/>
      <c r="P123" s="141"/>
      <c r="Q123" s="141"/>
      <c r="R123" s="141"/>
      <c r="S123" s="141"/>
      <c r="T123" s="141"/>
      <c r="U123" s="141"/>
    </row>
    <row r="124" spans="2:21" ht="16" customHeight="1" x14ac:dyDescent="0.2">
      <c r="L124" s="141"/>
      <c r="M124" s="141"/>
      <c r="N124" s="141"/>
      <c r="O124" s="141"/>
      <c r="P124" s="141"/>
      <c r="Q124" s="141"/>
      <c r="R124" s="141"/>
      <c r="S124" s="141"/>
      <c r="T124" s="141"/>
      <c r="U124" s="141"/>
    </row>
    <row r="125" spans="2:21" ht="16" customHeight="1" x14ac:dyDescent="0.2">
      <c r="L125" s="141"/>
      <c r="M125" s="141"/>
      <c r="N125" s="141"/>
      <c r="O125" s="141"/>
      <c r="P125" s="141"/>
      <c r="Q125" s="141"/>
      <c r="R125" s="141"/>
      <c r="S125" s="141"/>
      <c r="T125" s="141"/>
      <c r="U125" s="141"/>
    </row>
    <row r="126" spans="2:21" ht="16" customHeight="1" x14ac:dyDescent="0.2">
      <c r="B126" s="145" t="s">
        <v>190</v>
      </c>
      <c r="C126" s="146"/>
      <c r="D126" s="146"/>
      <c r="E126" s="146"/>
      <c r="F126" s="146"/>
      <c r="G126" s="146"/>
      <c r="H126" s="146"/>
      <c r="I126" s="146"/>
      <c r="L126" s="141"/>
      <c r="M126" s="141"/>
      <c r="N126" s="141"/>
      <c r="O126" s="141"/>
      <c r="P126" s="141"/>
      <c r="Q126" s="141"/>
      <c r="R126" s="141"/>
      <c r="S126" s="141"/>
      <c r="T126" s="141"/>
      <c r="U126" s="141"/>
    </row>
    <row r="127" spans="2:21" ht="17" customHeight="1" x14ac:dyDescent="0.2">
      <c r="B127" s="39"/>
      <c r="C127" s="40"/>
      <c r="D127" s="63" t="s">
        <v>119</v>
      </c>
      <c r="E127" s="63" t="s">
        <v>120</v>
      </c>
      <c r="F127" s="63" t="s">
        <v>121</v>
      </c>
      <c r="G127" s="63" t="s">
        <v>122</v>
      </c>
      <c r="H127" s="63" t="s">
        <v>123</v>
      </c>
      <c r="I127" s="63" t="s">
        <v>124</v>
      </c>
      <c r="L127" s="141"/>
      <c r="M127" s="141"/>
      <c r="N127" s="141"/>
      <c r="O127" s="141"/>
      <c r="P127" s="141"/>
      <c r="Q127" s="141"/>
      <c r="R127" s="141"/>
      <c r="S127" s="141"/>
      <c r="T127" s="141"/>
      <c r="U127" s="141"/>
    </row>
    <row r="128" spans="2:21" ht="16" customHeight="1" x14ac:dyDescent="0.2">
      <c r="B128" s="61" t="s">
        <v>191</v>
      </c>
      <c r="C128" s="23"/>
      <c r="D128" s="23"/>
      <c r="E128" s="24">
        <f>E106</f>
        <v>1685.2139999999963</v>
      </c>
      <c r="F128" s="24">
        <f t="shared" ref="F128:I128" si="39">F106</f>
        <v>1657.5574075000004</v>
      </c>
      <c r="G128" s="24">
        <f t="shared" si="39"/>
        <v>3472.5560388374979</v>
      </c>
      <c r="H128" s="24">
        <f t="shared" si="39"/>
        <v>6230.9124506479984</v>
      </c>
      <c r="I128" s="24">
        <f t="shared" si="39"/>
        <v>7977.1931664235253</v>
      </c>
      <c r="L128" s="141"/>
      <c r="M128" s="141"/>
      <c r="N128" s="141"/>
      <c r="O128" s="141"/>
      <c r="P128" s="141"/>
      <c r="Q128" s="141"/>
      <c r="R128" s="141"/>
      <c r="S128" s="141"/>
      <c r="T128" s="141"/>
      <c r="U128" s="141"/>
    </row>
    <row r="129" spans="2:21" ht="16" customHeight="1" x14ac:dyDescent="0.2">
      <c r="B129" s="62" t="s">
        <v>192</v>
      </c>
      <c r="C129" s="26"/>
      <c r="D129" s="26"/>
      <c r="E129" s="26">
        <f>1/(1+$D$121)^E131</f>
        <v>0.86578962177980379</v>
      </c>
      <c r="F129" s="26">
        <f t="shared" ref="F129:I129" si="40">1/(1+$D$121)^F131</f>
        <v>0.74959166918161579</v>
      </c>
      <c r="G129" s="26">
        <f t="shared" si="40"/>
        <v>0.64898868775004293</v>
      </c>
      <c r="H129" s="26">
        <f t="shared" si="40"/>
        <v>0.56188767050648092</v>
      </c>
      <c r="I129" s="26">
        <f t="shared" si="40"/>
        <v>0.48647651373054107</v>
      </c>
      <c r="L129" s="141"/>
      <c r="M129" s="141"/>
      <c r="N129" s="141"/>
      <c r="O129" s="141"/>
      <c r="P129" s="141"/>
      <c r="Q129" s="141"/>
      <c r="R129" s="141"/>
      <c r="S129" s="141"/>
      <c r="T129" s="141"/>
      <c r="U129" s="141"/>
    </row>
    <row r="130" spans="2:21" ht="16" customHeight="1" x14ac:dyDescent="0.2">
      <c r="B130" s="62" t="s">
        <v>193</v>
      </c>
      <c r="C130" s="26"/>
      <c r="D130" s="26"/>
      <c r="E130" s="27">
        <f>E128*E129</f>
        <v>1459.0407916780271</v>
      </c>
      <c r="F130" s="27">
        <f t="shared" ref="F130:I130" si="41">F128*F129</f>
        <v>1242.491223852277</v>
      </c>
      <c r="G130" s="27">
        <f t="shared" si="41"/>
        <v>2253.6495867836347</v>
      </c>
      <c r="H130" s="27">
        <f t="shared" si="41"/>
        <v>3501.0728820244321</v>
      </c>
      <c r="I130" s="27">
        <f t="shared" si="41"/>
        <v>3880.7171209568123</v>
      </c>
      <c r="L130" s="141"/>
      <c r="M130" s="141"/>
      <c r="N130" s="141"/>
      <c r="O130" s="141"/>
      <c r="P130" s="141"/>
      <c r="Q130" s="141"/>
      <c r="R130" s="141"/>
      <c r="S130" s="141"/>
      <c r="T130" s="141"/>
      <c r="U130" s="141"/>
    </row>
    <row r="131" spans="2:21" ht="16" customHeight="1" x14ac:dyDescent="0.2">
      <c r="B131" s="62" t="s">
        <v>194</v>
      </c>
      <c r="C131" s="26"/>
      <c r="D131" s="26"/>
      <c r="E131" s="26">
        <v>1</v>
      </c>
      <c r="F131" s="26">
        <f>E131+1</f>
        <v>2</v>
      </c>
      <c r="G131" s="26">
        <f t="shared" ref="G131:I131" si="42">F131+1</f>
        <v>3</v>
      </c>
      <c r="H131" s="26">
        <f t="shared" si="42"/>
        <v>4</v>
      </c>
      <c r="I131" s="26">
        <f t="shared" si="42"/>
        <v>5</v>
      </c>
      <c r="L131" s="141"/>
      <c r="M131" s="141"/>
      <c r="N131" s="141"/>
      <c r="O131" s="141"/>
      <c r="P131" s="141"/>
      <c r="Q131" s="141"/>
      <c r="R131" s="141"/>
      <c r="S131" s="141"/>
      <c r="T131" s="141"/>
      <c r="U131" s="141"/>
    </row>
    <row r="132" spans="2:21" ht="16" customHeight="1" x14ac:dyDescent="0.2">
      <c r="L132" s="141"/>
      <c r="M132" s="141"/>
      <c r="N132" s="141"/>
      <c r="O132" s="141"/>
      <c r="P132" s="141"/>
      <c r="Q132" s="141"/>
      <c r="R132" s="141"/>
      <c r="S132" s="141"/>
      <c r="T132" s="141"/>
      <c r="U132" s="141"/>
    </row>
    <row r="133" spans="2:21" ht="16" customHeight="1" x14ac:dyDescent="0.2">
      <c r="L133" s="141"/>
      <c r="M133" s="141"/>
      <c r="N133" s="141"/>
      <c r="O133" s="141"/>
      <c r="P133" s="141"/>
      <c r="Q133" s="141"/>
      <c r="R133" s="141"/>
      <c r="S133" s="141"/>
      <c r="T133" s="141"/>
      <c r="U133" s="141"/>
    </row>
    <row r="134" spans="2:21" ht="16" customHeight="1" x14ac:dyDescent="0.2">
      <c r="L134" s="141"/>
      <c r="M134" s="141"/>
      <c r="N134" s="141"/>
      <c r="O134" s="141"/>
      <c r="P134" s="141"/>
      <c r="Q134" s="141"/>
      <c r="R134" s="141"/>
      <c r="S134" s="141"/>
      <c r="T134" s="141"/>
      <c r="U134" s="141"/>
    </row>
    <row r="135" spans="2:21" ht="16" customHeight="1" x14ac:dyDescent="0.2">
      <c r="B135" s="143" t="s">
        <v>195</v>
      </c>
      <c r="C135" s="144"/>
      <c r="L135" s="141"/>
      <c r="M135" s="141"/>
      <c r="N135" s="141"/>
      <c r="O135" s="141"/>
      <c r="P135" s="141"/>
      <c r="Q135" s="141"/>
      <c r="R135" s="141"/>
      <c r="S135" s="141"/>
      <c r="T135" s="141"/>
      <c r="U135" s="141"/>
    </row>
    <row r="136" spans="2:21" ht="16" customHeight="1" x14ac:dyDescent="0.2">
      <c r="B136" s="62" t="s">
        <v>196</v>
      </c>
      <c r="C136" s="65">
        <f>I106</f>
        <v>7977.1931664235253</v>
      </c>
      <c r="L136" s="141"/>
      <c r="M136" s="141"/>
      <c r="N136" s="141"/>
      <c r="O136" s="141"/>
      <c r="P136" s="141"/>
      <c r="Q136" s="141"/>
      <c r="R136" s="141"/>
      <c r="S136" s="141"/>
      <c r="T136" s="141"/>
      <c r="U136" s="141"/>
    </row>
    <row r="137" spans="2:21" ht="16" customHeight="1" x14ac:dyDescent="0.2">
      <c r="B137" s="62" t="s">
        <v>188</v>
      </c>
      <c r="C137" s="98">
        <f>D122</f>
        <v>0.03</v>
      </c>
      <c r="L137" s="141"/>
      <c r="M137" s="141"/>
      <c r="N137" s="141"/>
      <c r="O137" s="141"/>
      <c r="P137" s="141"/>
      <c r="Q137" s="141"/>
      <c r="R137" s="141"/>
      <c r="S137" s="141"/>
      <c r="T137" s="141"/>
      <c r="U137" s="141"/>
    </row>
    <row r="138" spans="2:21" ht="16" customHeight="1" x14ac:dyDescent="0.2">
      <c r="B138" s="62" t="s">
        <v>187</v>
      </c>
      <c r="C138" s="99">
        <f>D121</f>
        <v>0.15501499999999999</v>
      </c>
      <c r="L138" s="141"/>
      <c r="M138" s="141"/>
      <c r="N138" s="141"/>
      <c r="O138" s="141"/>
      <c r="P138" s="141"/>
      <c r="Q138" s="141"/>
      <c r="R138" s="141"/>
      <c r="S138" s="141"/>
      <c r="T138" s="141"/>
      <c r="U138" s="141"/>
    </row>
    <row r="139" spans="2:21" ht="16" customHeight="1" x14ac:dyDescent="0.2">
      <c r="B139" s="62" t="s">
        <v>197</v>
      </c>
      <c r="C139" s="100">
        <f>C136*(1+C137)/(C138-C137)</f>
        <v>65724.184789155159</v>
      </c>
      <c r="L139" s="141"/>
      <c r="M139" s="141"/>
      <c r="N139" s="141"/>
      <c r="O139" s="141"/>
      <c r="P139" s="141"/>
      <c r="Q139" s="141"/>
      <c r="R139" s="141"/>
      <c r="S139" s="141"/>
      <c r="T139" s="141"/>
      <c r="U139" s="141"/>
    </row>
    <row r="140" spans="2:21" ht="17" customHeight="1" x14ac:dyDescent="0.2">
      <c r="B140" s="97" t="s">
        <v>198</v>
      </c>
      <c r="C140" s="100">
        <f>C139*I129</f>
        <v>31973.272284010058</v>
      </c>
      <c r="L140" s="141"/>
      <c r="M140" s="141"/>
      <c r="N140" s="141"/>
      <c r="O140" s="141"/>
      <c r="P140" s="141"/>
      <c r="Q140" s="141"/>
      <c r="R140" s="141"/>
      <c r="S140" s="141"/>
      <c r="T140" s="141"/>
      <c r="U140" s="141"/>
    </row>
    <row r="141" spans="2:21" ht="16" customHeight="1" x14ac:dyDescent="0.3">
      <c r="L141" s="106"/>
      <c r="M141" s="106"/>
      <c r="N141" s="106"/>
      <c r="O141" s="106"/>
      <c r="P141" s="106"/>
      <c r="Q141" s="106"/>
      <c r="R141" s="106"/>
      <c r="S141" s="106"/>
      <c r="T141" s="106"/>
      <c r="U141" s="106"/>
    </row>
    <row r="142" spans="2:21" ht="16" customHeight="1" x14ac:dyDescent="0.3">
      <c r="L142" s="106"/>
      <c r="M142" s="106"/>
      <c r="N142" s="106"/>
      <c r="O142" s="106"/>
      <c r="P142" s="106"/>
      <c r="Q142" s="106"/>
      <c r="R142" s="106"/>
      <c r="S142" s="106"/>
      <c r="T142" s="106"/>
      <c r="U142" s="106"/>
    </row>
    <row r="143" spans="2:21" ht="16" customHeight="1" x14ac:dyDescent="0.3">
      <c r="B143" s="142" t="s">
        <v>199</v>
      </c>
      <c r="C143" s="142"/>
      <c r="D143" s="142"/>
      <c r="L143" s="106"/>
      <c r="M143" s="106"/>
      <c r="N143" s="106"/>
      <c r="O143" s="106"/>
      <c r="P143" s="106"/>
      <c r="Q143" s="106"/>
      <c r="R143" s="106"/>
      <c r="S143" s="106"/>
      <c r="T143" s="106"/>
      <c r="U143" s="106"/>
    </row>
    <row r="144" spans="2:21" ht="16" customHeight="1" x14ac:dyDescent="0.3">
      <c r="B144" s="101"/>
      <c r="C144" s="102"/>
      <c r="D144" s="102"/>
      <c r="L144" s="106"/>
      <c r="M144" s="106"/>
      <c r="N144" s="106"/>
      <c r="O144" s="106"/>
      <c r="P144" s="106"/>
      <c r="Q144" s="106"/>
      <c r="R144" s="106"/>
      <c r="S144" s="106"/>
      <c r="T144" s="106"/>
      <c r="U144" s="106"/>
    </row>
    <row r="145" spans="2:21" ht="17" customHeight="1" x14ac:dyDescent="0.3">
      <c r="B145" s="54" t="s">
        <v>200</v>
      </c>
      <c r="C145" s="24">
        <f>SUM(E130:I130)</f>
        <v>12336.971605295184</v>
      </c>
      <c r="L145" s="106"/>
      <c r="M145" s="106"/>
      <c r="N145" s="106"/>
      <c r="O145" s="106"/>
      <c r="P145" s="106"/>
      <c r="Q145" s="106"/>
      <c r="R145" s="106"/>
      <c r="S145" s="106"/>
      <c r="T145" s="106"/>
      <c r="U145" s="106"/>
    </row>
    <row r="146" spans="2:21" ht="34" customHeight="1" x14ac:dyDescent="0.3">
      <c r="B146" s="54" t="s">
        <v>201</v>
      </c>
      <c r="C146" s="103">
        <f>C140</f>
        <v>31973.272284010058</v>
      </c>
      <c r="L146" s="106"/>
      <c r="M146" s="106"/>
      <c r="N146" s="106"/>
      <c r="O146" s="106"/>
      <c r="P146" s="106"/>
      <c r="Q146" s="106"/>
      <c r="R146" s="106"/>
      <c r="S146" s="106"/>
      <c r="T146" s="106"/>
      <c r="U146" s="106"/>
    </row>
    <row r="147" spans="2:21" ht="17" customHeight="1" x14ac:dyDescent="0.3">
      <c r="B147" s="54" t="s">
        <v>202</v>
      </c>
      <c r="C147" s="24">
        <f>SUM(C145:C146)</f>
        <v>44310.243889305246</v>
      </c>
      <c r="L147" s="106"/>
      <c r="M147" s="106"/>
      <c r="N147" s="106"/>
      <c r="O147" s="106"/>
      <c r="P147" s="106"/>
      <c r="Q147" s="106"/>
      <c r="R147" s="106"/>
      <c r="S147" s="106"/>
      <c r="T147" s="106"/>
      <c r="U147" s="106"/>
    </row>
    <row r="148" spans="2:21" ht="16" customHeight="1" x14ac:dyDescent="0.3">
      <c r="L148" s="106"/>
      <c r="M148" s="106"/>
      <c r="N148" s="106"/>
      <c r="O148" s="106"/>
      <c r="P148" s="106"/>
      <c r="Q148" s="106"/>
      <c r="R148" s="106"/>
      <c r="S148" s="106"/>
      <c r="T148" s="106"/>
      <c r="U148" s="106"/>
    </row>
    <row r="150" spans="2:21" x14ac:dyDescent="0.2">
      <c r="B150" s="142" t="s">
        <v>203</v>
      </c>
      <c r="C150" s="142"/>
      <c r="D150" s="142"/>
    </row>
    <row r="151" spans="2:21" x14ac:dyDescent="0.2">
      <c r="B151" s="101"/>
      <c r="C151" s="102"/>
      <c r="D151" s="102"/>
    </row>
    <row r="152" spans="2:21" ht="17" x14ac:dyDescent="0.2">
      <c r="B152" s="104" t="s">
        <v>204</v>
      </c>
      <c r="C152" s="24">
        <f>C147</f>
        <v>44310.243889305246</v>
      </c>
    </row>
    <row r="153" spans="2:21" ht="17" x14ac:dyDescent="0.2">
      <c r="B153" s="104" t="s">
        <v>205</v>
      </c>
      <c r="C153" s="59">
        <v>16513</v>
      </c>
    </row>
    <row r="154" spans="2:21" ht="17" x14ac:dyDescent="0.2">
      <c r="B154" s="104" t="s">
        <v>64</v>
      </c>
      <c r="C154" s="24">
        <v>27546</v>
      </c>
    </row>
    <row r="155" spans="2:21" ht="17" x14ac:dyDescent="0.2">
      <c r="B155" s="104" t="s">
        <v>206</v>
      </c>
      <c r="C155" s="59">
        <v>8376</v>
      </c>
    </row>
    <row r="156" spans="2:21" ht="17" x14ac:dyDescent="0.2">
      <c r="B156" s="104" t="s">
        <v>207</v>
      </c>
      <c r="C156" s="59">
        <v>728</v>
      </c>
    </row>
    <row r="157" spans="2:21" ht="17" x14ac:dyDescent="0.2">
      <c r="B157" s="104" t="s">
        <v>208</v>
      </c>
      <c r="C157" s="24">
        <f>C152+C153+C154-C155-C156</f>
        <v>79265.243889305246</v>
      </c>
    </row>
    <row r="158" spans="2:21" ht="17" x14ac:dyDescent="0.2">
      <c r="B158" s="104" t="s">
        <v>209</v>
      </c>
      <c r="C158" s="105">
        <v>3752.4319999999998</v>
      </c>
    </row>
    <row r="159" spans="2:21" ht="17" x14ac:dyDescent="0.2">
      <c r="B159" s="104" t="s">
        <v>210</v>
      </c>
      <c r="C159" s="18">
        <f>C157/C158</f>
        <v>21.12369894759059</v>
      </c>
    </row>
    <row r="160" spans="2:21" ht="34" x14ac:dyDescent="0.2">
      <c r="B160" s="104" t="s">
        <v>211</v>
      </c>
      <c r="C160" s="18">
        <f>386.83</f>
        <v>386.83</v>
      </c>
    </row>
    <row r="162" spans="2:21" ht="17" x14ac:dyDescent="0.2">
      <c r="B162" s="67" t="s">
        <v>212</v>
      </c>
      <c r="C162" s="32">
        <f>C159/C160-1</f>
        <v>-0.9453928109309242</v>
      </c>
    </row>
    <row r="163" spans="2:21" ht="17" x14ac:dyDescent="0.2">
      <c r="B163" s="67" t="s">
        <v>213</v>
      </c>
      <c r="C163" s="17">
        <f>C159-C160</f>
        <v>-365.7063010524094</v>
      </c>
    </row>
    <row r="167" spans="2:21" ht="16" customHeight="1" x14ac:dyDescent="0.2">
      <c r="B167" s="138" t="s">
        <v>215</v>
      </c>
      <c r="C167" s="138"/>
      <c r="D167" s="138"/>
      <c r="E167" s="138"/>
      <c r="F167" s="138"/>
      <c r="G167" s="138"/>
      <c r="L167" s="139" t="s">
        <v>217</v>
      </c>
      <c r="M167" s="139"/>
      <c r="N167" s="139"/>
      <c r="O167" s="139"/>
      <c r="P167" s="139"/>
      <c r="Q167" s="139"/>
      <c r="R167" s="139"/>
      <c r="S167" s="139"/>
      <c r="T167" s="139"/>
      <c r="U167" s="139"/>
    </row>
    <row r="168" spans="2:21" ht="16" customHeight="1" x14ac:dyDescent="0.2">
      <c r="B168" s="4" t="s">
        <v>216</v>
      </c>
      <c r="C168" s="107">
        <v>0.02</v>
      </c>
      <c r="D168" s="107">
        <v>2.5000000000000001E-2</v>
      </c>
      <c r="E168" s="107">
        <v>0.03</v>
      </c>
      <c r="F168" s="107">
        <v>3.5000000000000003E-2</v>
      </c>
      <c r="G168" s="107">
        <v>0.04</v>
      </c>
      <c r="L168" s="139"/>
      <c r="M168" s="139"/>
      <c r="N168" s="139"/>
      <c r="O168" s="139"/>
      <c r="P168" s="139"/>
      <c r="Q168" s="139"/>
      <c r="R168" s="139"/>
      <c r="S168" s="139"/>
      <c r="T168" s="139"/>
      <c r="U168" s="139"/>
    </row>
    <row r="169" spans="2:21" ht="16" customHeight="1" x14ac:dyDescent="0.2">
      <c r="B169" s="79">
        <v>0.13500000000000001</v>
      </c>
      <c r="C169" s="17" cm="1">
        <f t="array" ref="C169">(SUMPRODUCT($E$106:$I$106,1/(1+$B169)^$E$131:$I$131)+($I$106*(1+C$168)/($B169-C$168))/(1+$B169)^5+$C$153+$C$154-$C$155-$C$156)/$C$158</f>
        <v>22.826630649967743</v>
      </c>
      <c r="D169" s="17" cm="1">
        <f t="array" ref="D169">(SUMPRODUCT($E$106:$I$106,1/(1+$B169)^$E$131:$I$131)+($I$106*(1+D$168)/($B169-D$168))/(1+$B169)^5+$C$153+$C$154-$C$155-$C$156)/$C$158</f>
        <v>23.332960242286699</v>
      </c>
      <c r="E169" s="17" cm="1">
        <f t="array" ref="E169">(SUMPRODUCT($E$106:$I$106,1/(1+$B169)^$E$131:$I$131)+($I$106*(1+E$168)/($B169-E$168))/(1+$B169)^5+$C$153+$C$154-$C$155-$C$156)/$C$158</f>
        <v>23.887511700540792</v>
      </c>
      <c r="F169" s="17" cm="1">
        <f t="array" ref="F169">(SUMPRODUCT($E$106:$I$106,1/(1+$B169)^$E$131:$I$131)+($I$106*(1+F$168)/($B169-F$168))/(1+$B169)^5+$C$153+$C$154-$C$155-$C$156)/$C$158</f>
        <v>24.497518304620289</v>
      </c>
      <c r="G169" s="17" cm="1">
        <f t="array" ref="G169">(SUMPRODUCT($E$106:$I$106,1/(1+$B169)^$E$131:$I$131)+($I$106*(1+G$168)/($B169-G$168))/(1+$B169)^5+$C$153+$C$154-$C$155-$C$156)/$C$158</f>
        <v>25.171736130181841</v>
      </c>
      <c r="L169" s="139"/>
      <c r="M169" s="139"/>
      <c r="N169" s="139"/>
      <c r="O169" s="139"/>
      <c r="P169" s="139"/>
      <c r="Q169" s="139"/>
      <c r="R169" s="139"/>
      <c r="S169" s="139"/>
      <c r="T169" s="139"/>
      <c r="U169" s="139"/>
    </row>
    <row r="170" spans="2:21" ht="16" customHeight="1" x14ac:dyDescent="0.2">
      <c r="B170" s="79">
        <v>0.14499999999999999</v>
      </c>
      <c r="C170" s="17" cm="1">
        <f t="array" ref="C170">(SUMPRODUCT($E$106:$I$106,1/(1+$B170)^$E$131:$I$131)+($I$106*(1+C$168)/($B170-C$168))/(1+$B170)^5+$C$153+$C$154-$C$155-$C$156)/$C$158</f>
        <v>21.521783346423522</v>
      </c>
      <c r="D170" s="17" cm="1">
        <f t="array" ref="D170">(SUMPRODUCT($E$106:$I$106,1/(1+$B170)^$E$131:$I$131)+($I$106*(1+D$168)/($B170-D$168))/(1+$B170)^5+$C$153+$C$154-$C$155-$C$156)/$C$158</f>
        <v>21.934065063602123</v>
      </c>
      <c r="E170" s="17" cm="1">
        <f t="array" ref="E170">(SUMPRODUCT($E$106:$I$106,1/(1+$B170)^$E$131:$I$131)+($I$106*(1+E$168)/($B170-E$168))/(1+$B170)^5+$C$153+$C$154-$C$155-$C$156)/$C$158</f>
        <v>22.382197364883215</v>
      </c>
      <c r="F170" s="17" cm="1">
        <f t="array" ref="F170">(SUMPRODUCT($E$106:$I$106,1/(1+$B170)^$E$131:$I$131)+($I$106*(1+F$168)/($B170-F$168))/(1+$B170)^5+$C$153+$C$154-$C$155-$C$156)/$C$158</f>
        <v>22.871068966280763</v>
      </c>
      <c r="G170" s="17" cm="1">
        <f t="array" ref="G170">(SUMPRODUCT($E$106:$I$106,1/(1+$B170)^$E$131:$I$131)+($I$106*(1+G$168)/($B170-G$168))/(1+$B170)^5+$C$153+$C$154-$C$155-$C$156)/$C$158</f>
        <v>23.406499767811418</v>
      </c>
      <c r="L170" s="139"/>
      <c r="M170" s="139"/>
      <c r="N170" s="139"/>
      <c r="O170" s="139"/>
      <c r="P170" s="139"/>
      <c r="Q170" s="139"/>
      <c r="R170" s="139"/>
      <c r="S170" s="139"/>
      <c r="T170" s="139"/>
      <c r="U170" s="139"/>
    </row>
    <row r="171" spans="2:21" ht="16" customHeight="1" x14ac:dyDescent="0.2">
      <c r="B171" s="79">
        <v>0.155</v>
      </c>
      <c r="C171" s="17" cm="1">
        <f t="array" ref="C171">(SUMPRODUCT($E$106:$I$106,1/(1+$B171)^$E$131:$I$131)+($I$106*(1+C$168)/($B171-C$168))/(1+$B171)^5+$C$153+$C$154-$C$155-$C$156)/$C$158</f>
        <v>20.417537832119233</v>
      </c>
      <c r="D171" s="17" cm="1">
        <f t="array" ref="D171">(SUMPRODUCT($E$106:$I$106,1/(1+$B171)^$E$131:$I$131)+($I$106*(1+D$168)/($B171-D$168))/(1+$B171)^5+$C$153+$C$154-$C$155-$C$156)/$C$158</f>
        <v>20.757869392001311</v>
      </c>
      <c r="E171" s="17" cm="1">
        <f t="array" ref="E171">(SUMPRODUCT($E$106:$I$106,1/(1+$B171)^$E$131:$I$131)+($I$106*(1+E$168)/($B171-E$168))/(1+$B171)^5+$C$153+$C$154-$C$155-$C$156)/$C$158</f>
        <v>21.125427476673963</v>
      </c>
      <c r="F171" s="17" cm="1">
        <f t="array" ref="F171">(SUMPRODUCT($E$106:$I$106,1/(1+$B171)^$E$131:$I$131)+($I$106*(1+F$168)/($B171-F$168))/(1+$B171)^5+$C$153+$C$154-$C$155-$C$156)/$C$158</f>
        <v>21.523615401735992</v>
      </c>
      <c r="G171" s="17" cm="1">
        <f t="array" ref="G171">(SUMPRODUCT($E$106:$I$106,1/(1+$B171)^$E$131:$I$131)+($I$106*(1+G$168)/($B171-G$168))/(1+$B171)^5+$C$153+$C$154-$C$155-$C$156)/$C$158</f>
        <v>21.95642836375994</v>
      </c>
      <c r="L171" s="139"/>
      <c r="M171" s="139"/>
      <c r="N171" s="139"/>
      <c r="O171" s="139"/>
      <c r="P171" s="139"/>
      <c r="Q171" s="139"/>
      <c r="R171" s="139"/>
      <c r="S171" s="139"/>
      <c r="T171" s="139"/>
      <c r="U171" s="139"/>
    </row>
    <row r="172" spans="2:21" ht="16" customHeight="1" x14ac:dyDescent="0.2">
      <c r="B172" s="79">
        <v>0.16500000000000001</v>
      </c>
      <c r="C172" s="17" cm="1">
        <f t="array" ref="C172">(SUMPRODUCT($E$106:$I$106,1/(1+$B172)^$E$131:$I$131)+($I$106*(1+C$168)/($B172-C$168))/(1+$B172)^5+$C$153+$C$154-$C$155-$C$156)/$C$158</f>
        <v>19.472088820113257</v>
      </c>
      <c r="D172" s="17" cm="1">
        <f t="array" ref="D172">(SUMPRODUCT($E$106:$I$106,1/(1+$B172)^$E$131:$I$131)+($I$106*(1+D$168)/($B172-D$168))/(1+$B172)^5+$C$153+$C$154-$C$155-$C$156)/$C$158</f>
        <v>19.756343447063397</v>
      </c>
      <c r="E172" s="17" cm="1">
        <f t="array" ref="E172">(SUMPRODUCT($E$106:$I$106,1/(1+$B172)^$E$131:$I$131)+($I$106*(1+E$168)/($B172-E$168))/(1+$B172)^5+$C$153+$C$154-$C$155-$C$156)/$C$158</f>
        <v>20.06165397230615</v>
      </c>
      <c r="F172" s="17" cm="1">
        <f t="array" ref="F172">(SUMPRODUCT($E$106:$I$106,1/(1+$B172)^$E$131:$I$131)+($I$106*(1+F$168)/($B172-F$168))/(1+$B172)^5+$C$153+$C$154-$C$155-$C$156)/$C$158</f>
        <v>20.390449922567569</v>
      </c>
      <c r="G172" s="17" cm="1">
        <f t="array" ref="G172">(SUMPRODUCT($E$106:$I$106,1/(1+$B172)^$E$131:$I$131)+($I$106*(1+G$168)/($B172-G$168))/(1+$B172)^5+$C$153+$C$154-$C$155-$C$156)/$C$158</f>
        <v>20.745549548849905</v>
      </c>
      <c r="L172" s="139"/>
      <c r="M172" s="139"/>
      <c r="N172" s="139"/>
      <c r="O172" s="139"/>
      <c r="P172" s="139"/>
      <c r="Q172" s="139"/>
      <c r="R172" s="139"/>
      <c r="S172" s="139"/>
      <c r="T172" s="139"/>
      <c r="U172" s="139"/>
    </row>
    <row r="173" spans="2:21" ht="16" customHeight="1" x14ac:dyDescent="0.2">
      <c r="B173" s="79">
        <v>0.17499999999999999</v>
      </c>
      <c r="C173" s="17" cm="1">
        <f t="array" ref="C173">(SUMPRODUCT($E$106:$I$106,1/(1+$B173)^$E$131:$I$131)+($I$106*(1+C$168)/($B173-C$168))/(1+$B173)^5+$C$153+$C$154-$C$155-$C$156)/$C$158</f>
        <v>18.654434497132975</v>
      </c>
      <c r="D173" s="17" cm="1">
        <f t="array" ref="D173">(SUMPRODUCT($E$106:$I$106,1/(1+$B173)^$E$131:$I$131)+($I$106*(1+D$168)/($B173-D$168))/(1+$B173)^5+$C$153+$C$154-$C$155-$C$156)/$C$158</f>
        <v>18.894280706093742</v>
      </c>
      <c r="E173" s="17" cm="1">
        <f t="array" ref="E173">(SUMPRODUCT($E$106:$I$106,1/(1+$B173)^$E$131:$I$131)+($I$106*(1+E$168)/($B173-E$168))/(1+$B173)^5+$C$153+$C$154-$C$155-$C$156)/$C$158</f>
        <v>19.15066803291387</v>
      </c>
      <c r="F173" s="17" cm="1">
        <f t="array" ref="F173">(SUMPRODUCT($E$106:$I$106,1/(1+$B173)^$E$131:$I$131)+($I$106*(1+F$168)/($B173-F$168))/(1+$B173)^5+$C$153+$C$154-$C$155-$C$156)/$C$158</f>
        <v>19.425368740221153</v>
      </c>
      <c r="G173" s="17" cm="1">
        <f t="array" ref="G173">(SUMPRODUCT($E$106:$I$106,1/(1+$B173)^$E$131:$I$131)+($I$106*(1+G$168)/($B173-G$168))/(1+$B173)^5+$C$153+$C$154-$C$155-$C$156)/$C$158</f>
        <v>19.720417648069713</v>
      </c>
      <c r="L173" s="139"/>
      <c r="M173" s="139"/>
      <c r="N173" s="139"/>
      <c r="O173" s="139"/>
      <c r="P173" s="139"/>
      <c r="Q173" s="139"/>
      <c r="R173" s="139"/>
      <c r="S173" s="139"/>
      <c r="T173" s="139"/>
      <c r="U173" s="139"/>
    </row>
    <row r="174" spans="2:21" ht="16" customHeight="1" x14ac:dyDescent="0.2">
      <c r="B174" s="32"/>
      <c r="L174" s="139"/>
      <c r="M174" s="139"/>
      <c r="N174" s="139"/>
      <c r="O174" s="139"/>
      <c r="P174" s="139"/>
      <c r="Q174" s="139"/>
      <c r="R174" s="139"/>
      <c r="S174" s="139"/>
      <c r="T174" s="139"/>
      <c r="U174" s="139"/>
    </row>
    <row r="175" spans="2:21" ht="16" customHeight="1" x14ac:dyDescent="0.2">
      <c r="B175" s="32"/>
      <c r="L175" s="139"/>
      <c r="M175" s="139"/>
      <c r="N175" s="139"/>
      <c r="O175" s="139"/>
      <c r="P175" s="139"/>
      <c r="Q175" s="139"/>
      <c r="R175" s="139"/>
      <c r="S175" s="139"/>
      <c r="T175" s="139"/>
      <c r="U175" s="139"/>
    </row>
    <row r="176" spans="2:21" ht="16" customHeight="1" x14ac:dyDescent="0.2">
      <c r="B176" s="32"/>
      <c r="L176" s="139"/>
      <c r="M176" s="139"/>
      <c r="N176" s="139"/>
      <c r="O176" s="139"/>
      <c r="P176" s="139"/>
      <c r="Q176" s="139"/>
      <c r="R176" s="139"/>
      <c r="S176" s="139"/>
      <c r="T176" s="139"/>
      <c r="U176" s="139"/>
    </row>
    <row r="177" spans="2:21" ht="16" customHeight="1" x14ac:dyDescent="0.2">
      <c r="B177" s="32"/>
      <c r="L177" s="139"/>
      <c r="M177" s="139"/>
      <c r="N177" s="139"/>
      <c r="O177" s="139"/>
      <c r="P177" s="139"/>
      <c r="Q177" s="139"/>
      <c r="R177" s="139"/>
      <c r="S177" s="139"/>
      <c r="T177" s="139"/>
      <c r="U177" s="139"/>
    </row>
    <row r="178" spans="2:21" ht="16" customHeight="1" x14ac:dyDescent="0.2">
      <c r="B178" s="32"/>
      <c r="L178" s="139"/>
      <c r="M178" s="139"/>
      <c r="N178" s="139"/>
      <c r="O178" s="139"/>
      <c r="P178" s="139"/>
      <c r="Q178" s="139"/>
      <c r="R178" s="139"/>
      <c r="S178" s="139"/>
      <c r="T178" s="139"/>
      <c r="U178" s="139"/>
    </row>
    <row r="179" spans="2:21" ht="16" customHeight="1" x14ac:dyDescent="0.2">
      <c r="L179" s="139"/>
      <c r="M179" s="139"/>
      <c r="N179" s="139"/>
      <c r="O179" s="139"/>
      <c r="P179" s="139"/>
      <c r="Q179" s="139"/>
      <c r="R179" s="139"/>
      <c r="S179" s="139"/>
      <c r="T179" s="139"/>
      <c r="U179" s="139"/>
    </row>
    <row r="180" spans="2:21" ht="16" customHeight="1" x14ac:dyDescent="0.2">
      <c r="L180" s="139"/>
      <c r="M180" s="139"/>
      <c r="N180" s="139"/>
      <c r="O180" s="139"/>
      <c r="P180" s="139"/>
      <c r="Q180" s="139"/>
      <c r="R180" s="139"/>
      <c r="S180" s="139"/>
      <c r="T180" s="139"/>
      <c r="U180" s="139"/>
    </row>
    <row r="181" spans="2:21" ht="16" customHeight="1" x14ac:dyDescent="0.2">
      <c r="L181" s="139"/>
      <c r="M181" s="139"/>
      <c r="N181" s="139"/>
      <c r="O181" s="139"/>
      <c r="P181" s="139"/>
      <c r="Q181" s="139"/>
      <c r="R181" s="139"/>
      <c r="S181" s="139"/>
      <c r="T181" s="139"/>
      <c r="U181" s="139"/>
    </row>
    <row r="182" spans="2:21" ht="16" customHeight="1" x14ac:dyDescent="0.2">
      <c r="L182" s="139"/>
      <c r="M182" s="139"/>
      <c r="N182" s="139"/>
      <c r="O182" s="139"/>
      <c r="P182" s="139"/>
      <c r="Q182" s="139"/>
      <c r="R182" s="139"/>
      <c r="S182" s="139"/>
      <c r="T182" s="139"/>
      <c r="U182" s="139"/>
    </row>
    <row r="183" spans="2:21" ht="16" customHeight="1" x14ac:dyDescent="0.2">
      <c r="L183" s="139"/>
      <c r="M183" s="139"/>
      <c r="N183" s="139"/>
      <c r="O183" s="139"/>
      <c r="P183" s="139"/>
      <c r="Q183" s="139"/>
      <c r="R183" s="139"/>
      <c r="S183" s="139"/>
      <c r="T183" s="139"/>
      <c r="U183" s="139"/>
    </row>
    <row r="184" spans="2:21" ht="16" customHeight="1" x14ac:dyDescent="0.2">
      <c r="L184" s="139"/>
      <c r="M184" s="139"/>
      <c r="N184" s="139"/>
      <c r="O184" s="139"/>
      <c r="P184" s="139"/>
      <c r="Q184" s="139"/>
      <c r="R184" s="139"/>
      <c r="S184" s="139"/>
      <c r="T184" s="139"/>
      <c r="U184" s="139"/>
    </row>
    <row r="185" spans="2:21" ht="16" customHeight="1" x14ac:dyDescent="0.2">
      <c r="L185" s="139"/>
      <c r="M185" s="139"/>
      <c r="N185" s="139"/>
      <c r="O185" s="139"/>
      <c r="P185" s="139"/>
      <c r="Q185" s="139"/>
      <c r="R185" s="139"/>
      <c r="S185" s="139"/>
      <c r="T185" s="139"/>
      <c r="U185" s="139"/>
    </row>
    <row r="186" spans="2:21" ht="16" customHeight="1" x14ac:dyDescent="0.2">
      <c r="L186" s="139"/>
      <c r="M186" s="139"/>
      <c r="N186" s="139"/>
      <c r="O186" s="139"/>
      <c r="P186" s="139"/>
      <c r="Q186" s="139"/>
      <c r="R186" s="139"/>
      <c r="S186" s="139"/>
      <c r="T186" s="139"/>
      <c r="U186" s="139"/>
    </row>
    <row r="187" spans="2:21" ht="16" customHeight="1" x14ac:dyDescent="0.2">
      <c r="L187" s="139"/>
      <c r="M187" s="139"/>
      <c r="N187" s="139"/>
      <c r="O187" s="139"/>
      <c r="P187" s="139"/>
      <c r="Q187" s="139"/>
      <c r="R187" s="139"/>
      <c r="S187" s="139"/>
      <c r="T187" s="139"/>
      <c r="U187" s="139"/>
    </row>
    <row r="192" spans="2:21" x14ac:dyDescent="0.2">
      <c r="B192" s="138" t="s">
        <v>224</v>
      </c>
      <c r="C192" s="138"/>
      <c r="D192" s="138"/>
      <c r="E192" s="138"/>
      <c r="F192" s="138"/>
      <c r="G192" s="138"/>
    </row>
    <row r="193" spans="2:14" x14ac:dyDescent="0.2">
      <c r="B193" s="4"/>
      <c r="C193" s="107" t="s">
        <v>218</v>
      </c>
      <c r="D193" s="107" t="s">
        <v>219</v>
      </c>
      <c r="E193" s="107" t="s">
        <v>220</v>
      </c>
      <c r="F193" s="107"/>
      <c r="G193" s="107"/>
    </row>
    <row r="194" spans="2:14" x14ac:dyDescent="0.2">
      <c r="B194" s="79" t="s">
        <v>221</v>
      </c>
      <c r="C194" s="32">
        <v>-0.05</v>
      </c>
      <c r="D194" s="32">
        <v>0</v>
      </c>
      <c r="E194" s="32">
        <v>0.05</v>
      </c>
      <c r="F194" s="17"/>
      <c r="G194" s="17"/>
    </row>
    <row r="195" spans="2:14" x14ac:dyDescent="0.2">
      <c r="B195" s="79" t="s">
        <v>222</v>
      </c>
      <c r="C195" s="32">
        <v>-0.02</v>
      </c>
      <c r="D195" s="32">
        <v>0</v>
      </c>
      <c r="E195" s="32">
        <v>0.02</v>
      </c>
      <c r="F195" s="17"/>
      <c r="G195" s="17"/>
    </row>
    <row r="196" spans="2:14" x14ac:dyDescent="0.2">
      <c r="B196" s="79" t="s">
        <v>223</v>
      </c>
      <c r="C196" s="32">
        <v>0.15</v>
      </c>
      <c r="D196" s="32">
        <v>0</v>
      </c>
      <c r="E196" s="32">
        <v>-0.15</v>
      </c>
      <c r="F196" s="17"/>
      <c r="G196" s="17"/>
    </row>
    <row r="197" spans="2:14" x14ac:dyDescent="0.2">
      <c r="B197" s="79" t="s">
        <v>208</v>
      </c>
      <c r="C197" s="17"/>
      <c r="D197" s="17"/>
      <c r="E197" s="17"/>
      <c r="F197" s="17"/>
      <c r="G197" s="17"/>
    </row>
    <row r="198" spans="2:14" x14ac:dyDescent="0.2">
      <c r="B198" s="79" t="s">
        <v>210</v>
      </c>
      <c r="C198" s="17"/>
      <c r="D198" s="17"/>
      <c r="E198" s="17"/>
      <c r="F198" s="17"/>
      <c r="G198" s="17"/>
    </row>
    <row r="201" spans="2:14" ht="16" customHeight="1" x14ac:dyDescent="0.2">
      <c r="B201" s="107" t="s">
        <v>221</v>
      </c>
      <c r="C201" s="108">
        <v>0</v>
      </c>
      <c r="E201" s="139" t="s">
        <v>225</v>
      </c>
      <c r="F201" s="139"/>
      <c r="G201" s="139"/>
      <c r="H201" s="139"/>
      <c r="I201" s="139"/>
      <c r="J201" s="139"/>
      <c r="K201" s="139"/>
      <c r="L201" s="139"/>
      <c r="M201" s="139"/>
      <c r="N201" s="139"/>
    </row>
    <row r="202" spans="2:14" ht="16" customHeight="1" x14ac:dyDescent="0.2">
      <c r="B202" s="107" t="s">
        <v>222</v>
      </c>
      <c r="C202" s="108">
        <v>0</v>
      </c>
      <c r="E202" s="139"/>
      <c r="F202" s="139"/>
      <c r="G202" s="139"/>
      <c r="H202" s="139"/>
      <c r="I202" s="139"/>
      <c r="J202" s="139"/>
      <c r="K202" s="139"/>
      <c r="L202" s="139"/>
      <c r="M202" s="139"/>
      <c r="N202" s="139"/>
    </row>
    <row r="203" spans="2:14" ht="16" customHeight="1" x14ac:dyDescent="0.2">
      <c r="B203" s="107" t="s">
        <v>223</v>
      </c>
      <c r="C203" s="108">
        <v>0</v>
      </c>
      <c r="E203" s="139"/>
      <c r="F203" s="139"/>
      <c r="G203" s="139"/>
      <c r="H203" s="139"/>
      <c r="I203" s="139"/>
      <c r="J203" s="139"/>
      <c r="K203" s="139"/>
      <c r="L203" s="139"/>
      <c r="M203" s="139"/>
      <c r="N203" s="139"/>
    </row>
    <row r="204" spans="2:14" ht="16" customHeight="1" x14ac:dyDescent="0.2">
      <c r="E204" s="139"/>
      <c r="F204" s="139"/>
      <c r="G204" s="139"/>
      <c r="H204" s="139"/>
      <c r="I204" s="139"/>
      <c r="J204" s="139"/>
      <c r="K204" s="139"/>
      <c r="L204" s="139"/>
      <c r="M204" s="139"/>
      <c r="N204" s="139"/>
    </row>
    <row r="205" spans="2:14" ht="16" customHeight="1" x14ac:dyDescent="0.2">
      <c r="E205" s="139"/>
      <c r="F205" s="139"/>
      <c r="G205" s="139"/>
      <c r="H205" s="139"/>
      <c r="I205" s="139"/>
      <c r="J205" s="139"/>
      <c r="K205" s="139"/>
      <c r="L205" s="139"/>
      <c r="M205" s="139"/>
      <c r="N205" s="139"/>
    </row>
    <row r="206" spans="2:14" ht="16" customHeight="1" x14ac:dyDescent="0.2">
      <c r="E206" s="139"/>
      <c r="F206" s="139"/>
      <c r="G206" s="139"/>
      <c r="H206" s="139"/>
      <c r="I206" s="139"/>
      <c r="J206" s="139"/>
      <c r="K206" s="139"/>
      <c r="L206" s="139"/>
      <c r="M206" s="139"/>
      <c r="N206" s="139"/>
    </row>
    <row r="207" spans="2:14" ht="16" customHeight="1" x14ac:dyDescent="0.2">
      <c r="E207" s="139"/>
      <c r="F207" s="139"/>
      <c r="G207" s="139"/>
      <c r="H207" s="139"/>
      <c r="I207" s="139"/>
      <c r="J207" s="139"/>
      <c r="K207" s="139"/>
      <c r="L207" s="139"/>
      <c r="M207" s="139"/>
      <c r="N207" s="139"/>
    </row>
    <row r="208" spans="2:14" ht="16" customHeight="1" x14ac:dyDescent="0.2">
      <c r="E208" s="139"/>
      <c r="F208" s="139"/>
      <c r="G208" s="139"/>
      <c r="H208" s="139"/>
      <c r="I208" s="139"/>
      <c r="J208" s="139"/>
      <c r="K208" s="139"/>
      <c r="L208" s="139"/>
      <c r="M208" s="139"/>
      <c r="N208" s="139"/>
    </row>
    <row r="209" spans="2:14" ht="16" customHeight="1" x14ac:dyDescent="0.2">
      <c r="E209" s="139"/>
      <c r="F209" s="139"/>
      <c r="G209" s="139"/>
      <c r="H209" s="139"/>
      <c r="I209" s="139"/>
      <c r="J209" s="139"/>
      <c r="K209" s="139"/>
      <c r="L209" s="139"/>
      <c r="M209" s="139"/>
      <c r="N209" s="139"/>
    </row>
    <row r="210" spans="2:14" ht="16" customHeight="1" x14ac:dyDescent="0.2">
      <c r="E210" s="139"/>
      <c r="F210" s="139"/>
      <c r="G210" s="139"/>
      <c r="H210" s="139"/>
      <c r="I210" s="139"/>
      <c r="J210" s="139"/>
      <c r="K210" s="139"/>
      <c r="L210" s="139"/>
      <c r="M210" s="139"/>
      <c r="N210" s="139"/>
    </row>
    <row r="211" spans="2:14" ht="16" customHeight="1" x14ac:dyDescent="0.2">
      <c r="E211" s="139"/>
      <c r="F211" s="139"/>
      <c r="G211" s="139"/>
      <c r="H211" s="139"/>
      <c r="I211" s="139"/>
      <c r="J211" s="139"/>
      <c r="K211" s="139"/>
      <c r="L211" s="139"/>
      <c r="M211" s="139"/>
      <c r="N211" s="139"/>
    </row>
    <row r="212" spans="2:14" ht="16" customHeight="1" x14ac:dyDescent="0.2">
      <c r="E212" s="139"/>
      <c r="F212" s="139"/>
      <c r="G212" s="139"/>
      <c r="H212" s="139"/>
      <c r="I212" s="139"/>
      <c r="J212" s="139"/>
      <c r="K212" s="139"/>
      <c r="L212" s="139"/>
      <c r="M212" s="139"/>
      <c r="N212" s="139"/>
    </row>
    <row r="213" spans="2:14" ht="16" customHeight="1" x14ac:dyDescent="0.2">
      <c r="E213" s="139"/>
      <c r="F213" s="139"/>
      <c r="G213" s="139"/>
      <c r="H213" s="139"/>
      <c r="I213" s="139"/>
      <c r="J213" s="139"/>
      <c r="K213" s="139"/>
      <c r="L213" s="139"/>
      <c r="M213" s="139"/>
      <c r="N213" s="139"/>
    </row>
    <row r="214" spans="2:14" ht="16" customHeight="1" x14ac:dyDescent="0.2">
      <c r="E214" s="139"/>
      <c r="F214" s="139"/>
      <c r="G214" s="139"/>
      <c r="H214" s="139"/>
      <c r="I214" s="139"/>
      <c r="J214" s="139"/>
      <c r="K214" s="139"/>
      <c r="L214" s="139"/>
      <c r="M214" s="139"/>
      <c r="N214" s="139"/>
    </row>
    <row r="215" spans="2:14" ht="16" customHeight="1" x14ac:dyDescent="0.3">
      <c r="E215" s="109"/>
      <c r="F215" s="109"/>
      <c r="G215" s="109"/>
      <c r="H215" s="109"/>
      <c r="I215" s="109"/>
      <c r="J215" s="109"/>
      <c r="K215" s="109"/>
      <c r="L215" s="109"/>
      <c r="M215" s="109"/>
      <c r="N215" s="109"/>
    </row>
    <row r="216" spans="2:14" ht="16" customHeight="1" x14ac:dyDescent="0.3">
      <c r="E216" s="109"/>
      <c r="F216" s="109"/>
      <c r="G216" s="109"/>
      <c r="H216" s="109"/>
      <c r="I216" s="109"/>
      <c r="J216" s="109"/>
      <c r="K216" s="109"/>
      <c r="L216" s="109"/>
      <c r="M216" s="109"/>
      <c r="N216" s="109"/>
    </row>
    <row r="217" spans="2:14" ht="16" customHeight="1" x14ac:dyDescent="0.3">
      <c r="B217" s="140" t="s">
        <v>241</v>
      </c>
      <c r="C217" s="140"/>
      <c r="D217" s="140"/>
      <c r="E217" s="140"/>
      <c r="F217" s="140"/>
      <c r="G217" s="140"/>
      <c r="H217" s="140"/>
      <c r="I217" s="140"/>
      <c r="J217" s="140"/>
      <c r="K217" s="140"/>
      <c r="L217" s="109"/>
      <c r="M217" s="109"/>
      <c r="N217" s="109"/>
    </row>
    <row r="218" spans="2:14" ht="16" customHeight="1" x14ac:dyDescent="0.3">
      <c r="B218" s="140"/>
      <c r="C218" s="140"/>
      <c r="D218" s="140"/>
      <c r="E218" s="140"/>
      <c r="F218" s="140"/>
      <c r="G218" s="140"/>
      <c r="H218" s="140"/>
      <c r="I218" s="140"/>
      <c r="J218" s="140"/>
      <c r="K218" s="140"/>
      <c r="L218" s="109"/>
      <c r="M218" s="109"/>
      <c r="N218" s="109"/>
    </row>
    <row r="219" spans="2:14" ht="16" customHeight="1" x14ac:dyDescent="0.3">
      <c r="B219" s="140"/>
      <c r="C219" s="140"/>
      <c r="D219" s="140"/>
      <c r="E219" s="140"/>
      <c r="F219" s="140"/>
      <c r="G219" s="140"/>
      <c r="H219" s="140"/>
      <c r="I219" s="140"/>
      <c r="J219" s="140"/>
      <c r="K219" s="140"/>
      <c r="L219" s="109"/>
      <c r="M219" s="109"/>
      <c r="N219" s="109"/>
    </row>
    <row r="220" spans="2:14" ht="16" customHeight="1" x14ac:dyDescent="0.3">
      <c r="B220" s="140"/>
      <c r="C220" s="140"/>
      <c r="D220" s="140"/>
      <c r="E220" s="140"/>
      <c r="F220" s="140"/>
      <c r="G220" s="140"/>
      <c r="H220" s="140"/>
      <c r="I220" s="140"/>
      <c r="J220" s="140"/>
      <c r="K220" s="140"/>
      <c r="L220" s="109"/>
      <c r="M220" s="109"/>
      <c r="N220" s="109"/>
    </row>
    <row r="221" spans="2:14" ht="16" customHeight="1" x14ac:dyDescent="0.3">
      <c r="B221" s="140"/>
      <c r="C221" s="140"/>
      <c r="D221" s="140"/>
      <c r="E221" s="140"/>
      <c r="F221" s="140"/>
      <c r="G221" s="140"/>
      <c r="H221" s="140"/>
      <c r="I221" s="140"/>
      <c r="J221" s="140"/>
      <c r="K221" s="140"/>
      <c r="L221" s="109"/>
      <c r="M221" s="109"/>
      <c r="N221" s="109"/>
    </row>
    <row r="222" spans="2:14" x14ac:dyDescent="0.2">
      <c r="B222" s="140"/>
      <c r="C222" s="140"/>
      <c r="D222" s="140"/>
      <c r="E222" s="140"/>
      <c r="F222" s="140"/>
      <c r="G222" s="140"/>
      <c r="H222" s="140"/>
      <c r="I222" s="140"/>
      <c r="J222" s="140"/>
      <c r="K222" s="140"/>
    </row>
    <row r="223" spans="2:14" x14ac:dyDescent="0.2">
      <c r="B223" s="140"/>
      <c r="C223" s="140"/>
      <c r="D223" s="140"/>
      <c r="E223" s="140"/>
      <c r="F223" s="140"/>
      <c r="G223" s="140"/>
      <c r="H223" s="140"/>
      <c r="I223" s="140"/>
      <c r="J223" s="140"/>
      <c r="K223" s="140"/>
    </row>
    <row r="224" spans="2:14" x14ac:dyDescent="0.2">
      <c r="B224" s="140"/>
      <c r="C224" s="140"/>
      <c r="D224" s="140"/>
      <c r="E224" s="140"/>
      <c r="F224" s="140"/>
      <c r="G224" s="140"/>
      <c r="H224" s="140"/>
      <c r="I224" s="140"/>
      <c r="J224" s="140"/>
      <c r="K224" s="140"/>
    </row>
    <row r="225" spans="2:11" x14ac:dyDescent="0.2">
      <c r="B225" s="140"/>
      <c r="C225" s="140"/>
      <c r="D225" s="140"/>
      <c r="E225" s="140"/>
      <c r="F225" s="140"/>
      <c r="G225" s="140"/>
      <c r="H225" s="140"/>
      <c r="I225" s="140"/>
      <c r="J225" s="140"/>
      <c r="K225" s="140"/>
    </row>
    <row r="226" spans="2:11" x14ac:dyDescent="0.2">
      <c r="B226" s="140"/>
      <c r="C226" s="140"/>
      <c r="D226" s="140"/>
      <c r="E226" s="140"/>
      <c r="F226" s="140"/>
      <c r="G226" s="140"/>
      <c r="H226" s="140"/>
      <c r="I226" s="140"/>
      <c r="J226" s="140"/>
      <c r="K226" s="140"/>
    </row>
    <row r="227" spans="2:11" x14ac:dyDescent="0.2">
      <c r="B227" s="140"/>
      <c r="C227" s="140"/>
      <c r="D227" s="140"/>
      <c r="E227" s="140"/>
      <c r="F227" s="140"/>
      <c r="G227" s="140"/>
      <c r="H227" s="140"/>
      <c r="I227" s="140"/>
      <c r="J227" s="140"/>
      <c r="K227" s="140"/>
    </row>
    <row r="228" spans="2:11" x14ac:dyDescent="0.2">
      <c r="B228" s="140"/>
      <c r="C228" s="140"/>
      <c r="D228" s="140"/>
      <c r="E228" s="140"/>
      <c r="F228" s="140"/>
      <c r="G228" s="140"/>
      <c r="H228" s="140"/>
      <c r="I228" s="140"/>
      <c r="J228" s="140"/>
      <c r="K228" s="140"/>
    </row>
    <row r="229" spans="2:11" x14ac:dyDescent="0.2">
      <c r="B229" s="140"/>
      <c r="C229" s="140"/>
      <c r="D229" s="140"/>
      <c r="E229" s="140"/>
      <c r="F229" s="140"/>
      <c r="G229" s="140"/>
      <c r="H229" s="140"/>
      <c r="I229" s="140"/>
      <c r="J229" s="140"/>
      <c r="K229" s="140"/>
    </row>
    <row r="230" spans="2:11" x14ac:dyDescent="0.2">
      <c r="B230" s="140"/>
      <c r="C230" s="140"/>
      <c r="D230" s="140"/>
      <c r="E230" s="140"/>
      <c r="F230" s="140"/>
      <c r="G230" s="140"/>
      <c r="H230" s="140"/>
      <c r="I230" s="140"/>
      <c r="J230" s="140"/>
      <c r="K230" s="140"/>
    </row>
    <row r="231" spans="2:11" x14ac:dyDescent="0.2">
      <c r="B231" s="140"/>
      <c r="C231" s="140"/>
      <c r="D231" s="140"/>
      <c r="E231" s="140"/>
      <c r="F231" s="140"/>
      <c r="G231" s="140"/>
      <c r="H231" s="140"/>
      <c r="I231" s="140"/>
      <c r="J231" s="140"/>
      <c r="K231" s="140"/>
    </row>
    <row r="232" spans="2:11" x14ac:dyDescent="0.2">
      <c r="B232" s="140"/>
      <c r="C232" s="140"/>
      <c r="D232" s="140"/>
      <c r="E232" s="140"/>
      <c r="F232" s="140"/>
      <c r="G232" s="140"/>
      <c r="H232" s="140"/>
      <c r="I232" s="140"/>
      <c r="J232" s="140"/>
      <c r="K232" s="140"/>
    </row>
    <row r="233" spans="2:11" x14ac:dyDescent="0.2">
      <c r="B233" s="140"/>
      <c r="C233" s="140"/>
      <c r="D233" s="140"/>
      <c r="E233" s="140"/>
      <c r="F233" s="140"/>
      <c r="G233" s="140"/>
      <c r="H233" s="140"/>
      <c r="I233" s="140"/>
      <c r="J233" s="140"/>
      <c r="K233" s="140"/>
    </row>
    <row r="234" spans="2:11" x14ac:dyDescent="0.2">
      <c r="B234" s="140"/>
      <c r="C234" s="140"/>
      <c r="D234" s="140"/>
      <c r="E234" s="140"/>
      <c r="F234" s="140"/>
      <c r="G234" s="140"/>
      <c r="H234" s="140"/>
      <c r="I234" s="140"/>
      <c r="J234" s="140"/>
      <c r="K234" s="140"/>
    </row>
    <row r="235" spans="2:11" x14ac:dyDescent="0.2">
      <c r="B235" s="140"/>
      <c r="C235" s="140"/>
      <c r="D235" s="140"/>
      <c r="E235" s="140"/>
      <c r="F235" s="140"/>
      <c r="G235" s="140"/>
      <c r="H235" s="140"/>
      <c r="I235" s="140"/>
      <c r="J235" s="140"/>
      <c r="K235" s="140"/>
    </row>
    <row r="236" spans="2:11" x14ac:dyDescent="0.2">
      <c r="B236" s="140"/>
      <c r="C236" s="140"/>
      <c r="D236" s="140"/>
      <c r="E236" s="140"/>
      <c r="F236" s="140"/>
      <c r="G236" s="140"/>
      <c r="H236" s="140"/>
      <c r="I236" s="140"/>
      <c r="J236" s="140"/>
      <c r="K236" s="140"/>
    </row>
    <row r="237" spans="2:11" x14ac:dyDescent="0.2">
      <c r="B237" s="140"/>
      <c r="C237" s="140"/>
      <c r="D237" s="140"/>
      <c r="E237" s="140"/>
      <c r="F237" s="140"/>
      <c r="G237" s="140"/>
      <c r="H237" s="140"/>
      <c r="I237" s="140"/>
      <c r="J237" s="140"/>
      <c r="K237" s="140"/>
    </row>
    <row r="238" spans="2:11" x14ac:dyDescent="0.2">
      <c r="B238" s="140"/>
      <c r="C238" s="140"/>
      <c r="D238" s="140"/>
      <c r="E238" s="140"/>
      <c r="F238" s="140"/>
      <c r="G238" s="140"/>
      <c r="H238" s="140"/>
      <c r="I238" s="140"/>
      <c r="J238" s="140"/>
      <c r="K238" s="140"/>
    </row>
    <row r="239" spans="2:11" x14ac:dyDescent="0.2">
      <c r="B239" s="140"/>
      <c r="C239" s="140"/>
      <c r="D239" s="140"/>
      <c r="E239" s="140"/>
      <c r="F239" s="140"/>
      <c r="G239" s="140"/>
      <c r="H239" s="140"/>
      <c r="I239" s="140"/>
      <c r="J239" s="140"/>
      <c r="K239" s="140"/>
    </row>
    <row r="240" spans="2:11" x14ac:dyDescent="0.2">
      <c r="B240" s="140"/>
      <c r="C240" s="140"/>
      <c r="D240" s="140"/>
      <c r="E240" s="140"/>
      <c r="F240" s="140"/>
      <c r="G240" s="140"/>
      <c r="H240" s="140"/>
      <c r="I240" s="140"/>
      <c r="J240" s="140"/>
      <c r="K240" s="140"/>
    </row>
    <row r="241" spans="2:11" x14ac:dyDescent="0.2">
      <c r="B241" s="140"/>
      <c r="C241" s="140"/>
      <c r="D241" s="140"/>
      <c r="E241" s="140"/>
      <c r="F241" s="140"/>
      <c r="G241" s="140"/>
      <c r="H241" s="140"/>
      <c r="I241" s="140"/>
      <c r="J241" s="140"/>
      <c r="K241" s="140"/>
    </row>
    <row r="242" spans="2:11" x14ac:dyDescent="0.2">
      <c r="B242" s="140"/>
      <c r="C242" s="140"/>
      <c r="D242" s="140"/>
      <c r="E242" s="140"/>
      <c r="F242" s="140"/>
      <c r="G242" s="140"/>
      <c r="H242" s="140"/>
      <c r="I242" s="140"/>
      <c r="J242" s="140"/>
      <c r="K242" s="140"/>
    </row>
    <row r="243" spans="2:11" x14ac:dyDescent="0.2">
      <c r="B243" s="140"/>
      <c r="C243" s="140"/>
      <c r="D243" s="140"/>
      <c r="E243" s="140"/>
      <c r="F243" s="140"/>
      <c r="G243" s="140"/>
      <c r="H243" s="140"/>
      <c r="I243" s="140"/>
      <c r="J243" s="140"/>
      <c r="K243" s="140"/>
    </row>
    <row r="244" spans="2:11" x14ac:dyDescent="0.2">
      <c r="B244" s="140"/>
      <c r="C244" s="140"/>
      <c r="D244" s="140"/>
      <c r="E244" s="140"/>
      <c r="F244" s="140"/>
      <c r="G244" s="140"/>
      <c r="H244" s="140"/>
      <c r="I244" s="140"/>
      <c r="J244" s="140"/>
      <c r="K244" s="140"/>
    </row>
    <row r="245" spans="2:11" x14ac:dyDescent="0.2">
      <c r="B245" s="140"/>
      <c r="C245" s="140"/>
      <c r="D245" s="140"/>
      <c r="E245" s="140"/>
      <c r="F245" s="140"/>
      <c r="G245" s="140"/>
      <c r="H245" s="140"/>
      <c r="I245" s="140"/>
      <c r="J245" s="140"/>
      <c r="K245" s="140"/>
    </row>
    <row r="246" spans="2:11" x14ac:dyDescent="0.2">
      <c r="B246" s="140"/>
      <c r="C246" s="140"/>
      <c r="D246" s="140"/>
      <c r="E246" s="140"/>
      <c r="F246" s="140"/>
      <c r="G246" s="140"/>
      <c r="H246" s="140"/>
      <c r="I246" s="140"/>
      <c r="J246" s="140"/>
      <c r="K246" s="140"/>
    </row>
    <row r="247" spans="2:11" x14ac:dyDescent="0.2">
      <c r="B247" s="140"/>
      <c r="C247" s="140"/>
      <c r="D247" s="140"/>
      <c r="E247" s="140"/>
      <c r="F247" s="140"/>
      <c r="G247" s="140"/>
      <c r="H247" s="140"/>
      <c r="I247" s="140"/>
      <c r="J247" s="140"/>
      <c r="K247" s="140"/>
    </row>
    <row r="248" spans="2:11" x14ac:dyDescent="0.2">
      <c r="B248" s="140"/>
      <c r="C248" s="140"/>
      <c r="D248" s="140"/>
      <c r="E248" s="140"/>
      <c r="F248" s="140"/>
      <c r="G248" s="140"/>
      <c r="H248" s="140"/>
      <c r="I248" s="140"/>
      <c r="J248" s="140"/>
      <c r="K248" s="140"/>
    </row>
    <row r="249" spans="2:11" x14ac:dyDescent="0.2">
      <c r="B249" s="140"/>
      <c r="C249" s="140"/>
      <c r="D249" s="140"/>
      <c r="E249" s="140"/>
      <c r="F249" s="140"/>
      <c r="G249" s="140"/>
      <c r="H249" s="140"/>
      <c r="I249" s="140"/>
      <c r="J249" s="140"/>
      <c r="K249" s="140"/>
    </row>
    <row r="250" spans="2:11" x14ac:dyDescent="0.2">
      <c r="B250" s="140"/>
      <c r="C250" s="140"/>
      <c r="D250" s="140"/>
      <c r="E250" s="140"/>
      <c r="F250" s="140"/>
      <c r="G250" s="140"/>
      <c r="H250" s="140"/>
      <c r="I250" s="140"/>
      <c r="J250" s="140"/>
      <c r="K250" s="140"/>
    </row>
    <row r="251" spans="2:11" x14ac:dyDescent="0.2">
      <c r="B251" s="140"/>
      <c r="C251" s="140"/>
      <c r="D251" s="140"/>
      <c r="E251" s="140"/>
      <c r="F251" s="140"/>
      <c r="G251" s="140"/>
      <c r="H251" s="140"/>
      <c r="I251" s="140"/>
      <c r="J251" s="140"/>
      <c r="K251" s="140"/>
    </row>
    <row r="252" spans="2:11" x14ac:dyDescent="0.2">
      <c r="B252" s="140"/>
      <c r="C252" s="140"/>
      <c r="D252" s="140"/>
      <c r="E252" s="140"/>
      <c r="F252" s="140"/>
      <c r="G252" s="140"/>
      <c r="H252" s="140"/>
      <c r="I252" s="140"/>
      <c r="J252" s="140"/>
      <c r="K252" s="140"/>
    </row>
    <row r="253" spans="2:11" x14ac:dyDescent="0.2">
      <c r="B253" s="140"/>
      <c r="C253" s="140"/>
      <c r="D253" s="140"/>
      <c r="E253" s="140"/>
      <c r="F253" s="140"/>
      <c r="G253" s="140"/>
      <c r="H253" s="140"/>
      <c r="I253" s="140"/>
      <c r="J253" s="140"/>
      <c r="K253" s="140"/>
    </row>
    <row r="254" spans="2:11" x14ac:dyDescent="0.2">
      <c r="B254" s="140"/>
      <c r="C254" s="140"/>
      <c r="D254" s="140"/>
      <c r="E254" s="140"/>
      <c r="F254" s="140"/>
      <c r="G254" s="140"/>
      <c r="H254" s="140"/>
      <c r="I254" s="140"/>
      <c r="J254" s="140"/>
      <c r="K254" s="140"/>
    </row>
  </sheetData>
  <scenarios current="0" sqref="C157 C159">
    <scenario name="bear case" locked="1" count="3" user="M Anderson" comment="Created by M Anderson on 10/21/2026">
      <inputCells r="C201" val="-0.05" numFmtId="9"/>
      <inputCells r="C202" val="-0.02" numFmtId="9"/>
      <inputCells r="C203" val="0.15" numFmtId="9"/>
    </scenario>
    <scenario name="base case " locked="1" count="3" user="M Anderson" comment="Created by M Anderson on 10/21/2026">
      <inputCells r="C201" val="0" numFmtId="9"/>
      <inputCells r="C202" val="0" numFmtId="9"/>
      <inputCells r="C203" val="0" numFmtId="9"/>
    </scenario>
    <scenario name="bull case" locked="1" count="3" user="M Anderson" comment="Created by M Anderson on 10/21/2026">
      <inputCells r="C201" val="0.05" numFmtId="9"/>
      <inputCells r="C202" val="0.02" numFmtId="9"/>
      <inputCells r="C203" val="-0.15" numFmtId="9"/>
    </scenario>
  </scenarios>
  <mergeCells count="24">
    <mergeCell ref="L51:U66"/>
    <mergeCell ref="B72:I72"/>
    <mergeCell ref="B85:J85"/>
    <mergeCell ref="L75:U90"/>
    <mergeCell ref="B3:J3"/>
    <mergeCell ref="B11:J11"/>
    <mergeCell ref="L4:U14"/>
    <mergeCell ref="L21:U47"/>
    <mergeCell ref="B26:I26"/>
    <mergeCell ref="B39:J39"/>
    <mergeCell ref="B95:I95"/>
    <mergeCell ref="B110:E110"/>
    <mergeCell ref="B126:I126"/>
    <mergeCell ref="B50:I50"/>
    <mergeCell ref="B61:J61"/>
    <mergeCell ref="B192:G192"/>
    <mergeCell ref="E201:N214"/>
    <mergeCell ref="B217:K254"/>
    <mergeCell ref="L103:U140"/>
    <mergeCell ref="B167:G167"/>
    <mergeCell ref="L167:U187"/>
    <mergeCell ref="B143:D143"/>
    <mergeCell ref="B150:D150"/>
    <mergeCell ref="B135:C1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A6478-0D2B-414A-A365-7FE7BA6BFCC4}">
  <sheetPr>
    <outlinePr summaryBelow="0"/>
  </sheetPr>
  <dimension ref="B1:G14"/>
  <sheetViews>
    <sheetView showGridLines="0" workbookViewId="0">
      <selection activeCell="D22" sqref="D22"/>
    </sheetView>
  </sheetViews>
  <sheetFormatPr baseColWidth="10" defaultRowHeight="16" outlineLevelRow="1" outlineLevelCol="1" x14ac:dyDescent="0.2"/>
  <cols>
    <col min="3" max="3" width="7.5" bestFit="1" customWidth="1"/>
    <col min="4" max="7" width="12.5" bestFit="1" customWidth="1" outlineLevel="1"/>
  </cols>
  <sheetData>
    <row r="1" spans="2:7" ht="17" thickBot="1" x14ac:dyDescent="0.25"/>
    <row r="2" spans="2:7" ht="19" x14ac:dyDescent="0.25">
      <c r="B2" s="112" t="s">
        <v>232</v>
      </c>
      <c r="C2" s="112"/>
      <c r="D2" s="116"/>
      <c r="E2" s="116"/>
      <c r="F2" s="116"/>
      <c r="G2" s="116"/>
    </row>
    <row r="3" spans="2:7" ht="19" collapsed="1" x14ac:dyDescent="0.25">
      <c r="B3" s="111"/>
      <c r="C3" s="111"/>
      <c r="D3" s="117" t="s">
        <v>234</v>
      </c>
      <c r="E3" s="117" t="s">
        <v>229</v>
      </c>
      <c r="F3" s="117" t="s">
        <v>231</v>
      </c>
      <c r="G3" s="117" t="s">
        <v>220</v>
      </c>
    </row>
    <row r="4" spans="2:7" ht="36" hidden="1" outlineLevel="1" x14ac:dyDescent="0.2">
      <c r="B4" s="113"/>
      <c r="C4" s="113"/>
      <c r="E4" s="119" t="s">
        <v>230</v>
      </c>
      <c r="F4" s="119" t="s">
        <v>230</v>
      </c>
      <c r="G4" s="119" t="s">
        <v>230</v>
      </c>
    </row>
    <row r="5" spans="2:7" x14ac:dyDescent="0.2">
      <c r="B5" s="114" t="s">
        <v>233</v>
      </c>
      <c r="C5" s="114"/>
      <c r="D5" s="26"/>
      <c r="E5" s="26"/>
      <c r="F5" s="26"/>
      <c r="G5" s="26"/>
    </row>
    <row r="6" spans="2:7" outlineLevel="1" x14ac:dyDescent="0.2">
      <c r="B6" s="113"/>
      <c r="C6" s="113" t="s">
        <v>226</v>
      </c>
      <c r="D6" s="110">
        <v>0</v>
      </c>
      <c r="E6" s="118">
        <v>-0.05</v>
      </c>
      <c r="F6" s="118">
        <v>0</v>
      </c>
      <c r="G6" s="118">
        <v>0.05</v>
      </c>
    </row>
    <row r="7" spans="2:7" outlineLevel="1" x14ac:dyDescent="0.2">
      <c r="B7" s="113"/>
      <c r="C7" s="113" t="s">
        <v>227</v>
      </c>
      <c r="D7" s="110">
        <v>0</v>
      </c>
      <c r="E7" s="118">
        <v>-0.02</v>
      </c>
      <c r="F7" s="118">
        <v>0</v>
      </c>
      <c r="G7" s="118">
        <v>0.02</v>
      </c>
    </row>
    <row r="8" spans="2:7" outlineLevel="1" x14ac:dyDescent="0.2">
      <c r="B8" s="113"/>
      <c r="C8" s="113" t="s">
        <v>228</v>
      </c>
      <c r="D8" s="110">
        <v>0</v>
      </c>
      <c r="E8" s="118">
        <v>0.15</v>
      </c>
      <c r="F8" s="118">
        <v>0</v>
      </c>
      <c r="G8" s="118">
        <v>-0.15</v>
      </c>
    </row>
    <row r="9" spans="2:7" x14ac:dyDescent="0.2">
      <c r="B9" s="114" t="s">
        <v>235</v>
      </c>
      <c r="C9" s="114"/>
      <c r="D9" s="26"/>
      <c r="E9" s="26"/>
      <c r="F9" s="26"/>
      <c r="G9" s="26"/>
    </row>
    <row r="10" spans="2:7" outlineLevel="1" x14ac:dyDescent="0.2">
      <c r="B10" s="113"/>
      <c r="C10" s="113" t="s">
        <v>239</v>
      </c>
      <c r="D10" s="17">
        <v>79265.243889305202</v>
      </c>
      <c r="E10" s="17">
        <v>48257.1809489589</v>
      </c>
      <c r="F10" s="17">
        <v>79265.243889305202</v>
      </c>
      <c r="G10" s="17">
        <v>114976.938199378</v>
      </c>
    </row>
    <row r="11" spans="2:7" ht="17" outlineLevel="1" thickBot="1" x14ac:dyDescent="0.25">
      <c r="B11" s="115"/>
      <c r="C11" s="115" t="s">
        <v>240</v>
      </c>
      <c r="D11" s="120">
        <v>21.123698947590601</v>
      </c>
      <c r="E11" s="120">
        <v>12.860241291236999</v>
      </c>
      <c r="F11" s="120">
        <v>21.123698947590601</v>
      </c>
      <c r="G11" s="120">
        <v>30.640645373287999</v>
      </c>
    </row>
    <row r="12" spans="2:7" x14ac:dyDescent="0.2">
      <c r="B12" t="s">
        <v>236</v>
      </c>
    </row>
    <row r="13" spans="2:7" x14ac:dyDescent="0.2">
      <c r="B13" t="s">
        <v>237</v>
      </c>
    </row>
    <row r="14" spans="2:7" x14ac:dyDescent="0.2">
      <c r="B14" t="s">
        <v>238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937E-2BEC-B948-83A2-6B19E389EEC2}">
  <dimension ref="B2:W1075"/>
  <sheetViews>
    <sheetView tabSelected="1" zoomScale="50" workbookViewId="0">
      <selection activeCell="S22" sqref="S22"/>
    </sheetView>
  </sheetViews>
  <sheetFormatPr baseColWidth="10" defaultRowHeight="16" x14ac:dyDescent="0.2"/>
  <cols>
    <col min="2" max="2" width="12.1640625" style="156" bestFit="1" customWidth="1"/>
    <col min="3" max="3" width="24.1640625" bestFit="1" customWidth="1"/>
    <col min="4" max="4" width="23.5" bestFit="1" customWidth="1"/>
    <col min="5" max="5" width="13.6640625" bestFit="1" customWidth="1"/>
    <col min="6" max="6" width="12.5" bestFit="1" customWidth="1"/>
    <col min="7" max="7" width="23.1640625" bestFit="1" customWidth="1"/>
  </cols>
  <sheetData>
    <row r="2" spans="2:23" x14ac:dyDescent="0.2">
      <c r="B2" s="148" t="s">
        <v>242</v>
      </c>
      <c r="C2" s="148"/>
      <c r="D2" s="148"/>
      <c r="E2" s="157"/>
      <c r="F2" s="157"/>
      <c r="G2" s="157"/>
      <c r="H2" s="157"/>
      <c r="K2" s="175"/>
      <c r="L2" s="175"/>
      <c r="M2" s="175"/>
      <c r="N2" s="175"/>
      <c r="O2" s="175"/>
      <c r="P2" s="175"/>
      <c r="Q2" s="175"/>
      <c r="R2" s="175"/>
      <c r="S2" s="175"/>
      <c r="T2" s="175"/>
      <c r="U2" s="175"/>
      <c r="V2" s="175"/>
      <c r="W2" s="175"/>
    </row>
    <row r="3" spans="2:23" ht="60" customHeight="1" x14ac:dyDescent="0.2">
      <c r="B3" s="154" t="s">
        <v>261</v>
      </c>
      <c r="C3" s="152" t="s">
        <v>262</v>
      </c>
      <c r="D3" s="152" t="s">
        <v>263</v>
      </c>
      <c r="E3" s="152" t="s">
        <v>317</v>
      </c>
      <c r="F3" s="152" t="s">
        <v>318</v>
      </c>
      <c r="G3" s="152" t="s">
        <v>319</v>
      </c>
      <c r="H3" s="152" t="s">
        <v>320</v>
      </c>
      <c r="K3" s="175"/>
      <c r="L3" s="175"/>
      <c r="M3" s="176" t="s">
        <v>321</v>
      </c>
      <c r="N3" s="176"/>
      <c r="O3" s="176"/>
      <c r="P3" s="176"/>
      <c r="Q3" s="176"/>
      <c r="R3" s="176"/>
      <c r="S3" s="175"/>
      <c r="T3" s="175"/>
      <c r="U3" s="175"/>
      <c r="V3" s="175"/>
      <c r="W3" s="175"/>
    </row>
    <row r="4" spans="2:23" ht="17" x14ac:dyDescent="0.2">
      <c r="B4" s="161" t="s">
        <v>243</v>
      </c>
      <c r="C4" s="162" t="s">
        <v>249</v>
      </c>
      <c r="D4" s="153" t="s">
        <v>255</v>
      </c>
      <c r="E4">
        <v>4</v>
      </c>
      <c r="F4">
        <v>4</v>
      </c>
      <c r="G4">
        <f>E4*F4</f>
        <v>16</v>
      </c>
      <c r="H4" t="str">
        <f>IF(G4&gt;=15,"High",IF(G4&gt;=8,"Moderate","Low"))</f>
        <v>High</v>
      </c>
      <c r="K4" s="175"/>
      <c r="L4" s="175"/>
      <c r="M4" s="176"/>
      <c r="N4" s="176"/>
      <c r="O4" s="176"/>
      <c r="P4" s="176"/>
      <c r="Q4" s="176"/>
      <c r="R4" s="176"/>
      <c r="S4" s="175"/>
      <c r="T4" s="175"/>
      <c r="U4" s="175"/>
      <c r="V4" s="175"/>
      <c r="W4" s="175"/>
    </row>
    <row r="5" spans="2:23" ht="17" x14ac:dyDescent="0.2">
      <c r="B5" s="160" t="s">
        <v>244</v>
      </c>
      <c r="C5" s="34" t="s">
        <v>250</v>
      </c>
      <c r="D5" t="s">
        <v>256</v>
      </c>
      <c r="E5">
        <v>4</v>
      </c>
      <c r="F5">
        <v>5</v>
      </c>
      <c r="G5">
        <f t="shared" ref="G5:G9" si="0">E5*F5</f>
        <v>20</v>
      </c>
      <c r="H5" t="str">
        <f t="shared" ref="H5:H9" si="1">IF(G5&gt;=15,"High",IF(G5&gt;=8,"Moderate","Low"))</f>
        <v>High</v>
      </c>
      <c r="K5" s="175"/>
      <c r="L5" s="175"/>
      <c r="M5" s="176"/>
      <c r="N5" s="176"/>
      <c r="O5" s="176"/>
      <c r="P5" s="176"/>
      <c r="Q5" s="176"/>
      <c r="R5" s="176"/>
      <c r="S5" s="175"/>
      <c r="T5" s="175"/>
      <c r="U5" s="175"/>
      <c r="V5" s="175"/>
      <c r="W5" s="175"/>
    </row>
    <row r="6" spans="2:23" ht="17" x14ac:dyDescent="0.2">
      <c r="B6" s="160" t="s">
        <v>245</v>
      </c>
      <c r="C6" s="34" t="s">
        <v>251</v>
      </c>
      <c r="D6" t="s">
        <v>257</v>
      </c>
      <c r="E6">
        <v>2</v>
      </c>
      <c r="F6">
        <v>3</v>
      </c>
      <c r="G6">
        <f t="shared" si="0"/>
        <v>6</v>
      </c>
      <c r="H6" t="str">
        <f t="shared" si="1"/>
        <v>Low</v>
      </c>
      <c r="K6" s="175"/>
      <c r="L6" s="175"/>
      <c r="M6" s="176"/>
      <c r="N6" s="176"/>
      <c r="O6" s="176"/>
      <c r="P6" s="176"/>
      <c r="Q6" s="176"/>
      <c r="R6" s="176"/>
      <c r="S6" s="175"/>
      <c r="T6" s="175"/>
      <c r="U6" s="175"/>
      <c r="V6" s="175"/>
      <c r="W6" s="175"/>
    </row>
    <row r="7" spans="2:23" ht="17" x14ac:dyDescent="0.2">
      <c r="B7" s="160" t="s">
        <v>246</v>
      </c>
      <c r="C7" s="34" t="s">
        <v>252</v>
      </c>
      <c r="D7" t="s">
        <v>258</v>
      </c>
      <c r="E7">
        <v>2</v>
      </c>
      <c r="F7">
        <v>2</v>
      </c>
      <c r="G7">
        <f t="shared" si="0"/>
        <v>4</v>
      </c>
      <c r="H7" t="str">
        <f t="shared" si="1"/>
        <v>Low</v>
      </c>
      <c r="K7" s="175"/>
      <c r="L7" s="175"/>
      <c r="M7" s="176"/>
      <c r="N7" s="176"/>
      <c r="O7" s="176"/>
      <c r="P7" s="176"/>
      <c r="Q7" s="176"/>
      <c r="R7" s="176"/>
      <c r="S7" s="175"/>
      <c r="T7" s="175"/>
      <c r="U7" s="175"/>
      <c r="V7" s="175"/>
      <c r="W7" s="175"/>
    </row>
    <row r="8" spans="2:23" ht="17" x14ac:dyDescent="0.2">
      <c r="B8" s="160" t="s">
        <v>247</v>
      </c>
      <c r="C8" s="34" t="s">
        <v>253</v>
      </c>
      <c r="D8" t="s">
        <v>259</v>
      </c>
      <c r="E8">
        <v>4</v>
      </c>
      <c r="F8">
        <v>4</v>
      </c>
      <c r="G8">
        <f t="shared" si="0"/>
        <v>16</v>
      </c>
      <c r="H8" t="str">
        <f t="shared" si="1"/>
        <v>High</v>
      </c>
      <c r="K8" s="175"/>
      <c r="L8" s="175"/>
      <c r="M8" s="176"/>
      <c r="N8" s="176"/>
      <c r="O8" s="176"/>
      <c r="P8" s="176"/>
      <c r="Q8" s="176"/>
      <c r="R8" s="176"/>
      <c r="S8" s="175"/>
      <c r="T8" s="175"/>
      <c r="U8" s="175"/>
      <c r="V8" s="175"/>
      <c r="W8" s="175"/>
    </row>
    <row r="9" spans="2:23" ht="17" x14ac:dyDescent="0.2">
      <c r="B9" s="160" t="s">
        <v>248</v>
      </c>
      <c r="C9" s="34" t="s">
        <v>254</v>
      </c>
      <c r="D9" t="s">
        <v>260</v>
      </c>
      <c r="E9">
        <v>4</v>
      </c>
      <c r="F9">
        <v>4</v>
      </c>
      <c r="G9">
        <f t="shared" si="0"/>
        <v>16</v>
      </c>
      <c r="H9" t="str">
        <f t="shared" si="1"/>
        <v>High</v>
      </c>
      <c r="K9" s="175"/>
      <c r="L9" s="175"/>
      <c r="M9" s="176"/>
      <c r="N9" s="176"/>
      <c r="O9" s="176"/>
      <c r="P9" s="176"/>
      <c r="Q9" s="176"/>
      <c r="R9" s="176"/>
      <c r="S9" s="175"/>
      <c r="T9" s="175"/>
      <c r="U9" s="175"/>
      <c r="V9" s="175"/>
      <c r="W9" s="175"/>
    </row>
    <row r="10" spans="2:23" x14ac:dyDescent="0.2">
      <c r="K10" s="175"/>
      <c r="L10" s="175"/>
      <c r="M10" s="176"/>
      <c r="N10" s="176"/>
      <c r="O10" s="176"/>
      <c r="P10" s="176"/>
      <c r="Q10" s="176"/>
      <c r="R10" s="176"/>
      <c r="S10" s="175"/>
      <c r="T10" s="175"/>
      <c r="U10" s="175"/>
      <c r="V10" s="175"/>
      <c r="W10" s="175"/>
    </row>
    <row r="11" spans="2:23" x14ac:dyDescent="0.2">
      <c r="M11" s="176"/>
      <c r="N11" s="176"/>
      <c r="O11" s="176"/>
      <c r="P11" s="176"/>
      <c r="Q11" s="176"/>
      <c r="R11" s="176"/>
    </row>
    <row r="12" spans="2:23" x14ac:dyDescent="0.2">
      <c r="B12" s="158" t="s">
        <v>264</v>
      </c>
      <c r="C12" s="158"/>
      <c r="D12" s="158"/>
      <c r="F12" s="166" t="s">
        <v>272</v>
      </c>
      <c r="G12" s="124"/>
      <c r="H12" s="124"/>
      <c r="I12" s="124"/>
      <c r="J12" s="124"/>
      <c r="K12" s="124"/>
      <c r="M12" s="176"/>
      <c r="N12" s="176"/>
      <c r="O12" s="176"/>
      <c r="P12" s="176"/>
      <c r="Q12" s="176"/>
      <c r="R12" s="176"/>
    </row>
    <row r="13" spans="2:23" x14ac:dyDescent="0.2">
      <c r="B13" s="159"/>
      <c r="C13" s="93">
        <v>2025</v>
      </c>
      <c r="D13" s="93">
        <v>2024</v>
      </c>
      <c r="F13" s="124"/>
      <c r="G13" s="124"/>
      <c r="H13" s="124"/>
      <c r="I13" s="124"/>
      <c r="J13" s="124"/>
      <c r="K13" s="124"/>
    </row>
    <row r="14" spans="2:23" ht="17" x14ac:dyDescent="0.2">
      <c r="B14" s="160" t="s">
        <v>265</v>
      </c>
      <c r="C14" s="164">
        <f>'tesla financial modeling '!D66/'tesla financial modeling '!D70</f>
        <v>2.1644068865485275</v>
      </c>
      <c r="D14" s="163">
        <f>'tesla financial modeling '!E66/'tesla financial modeling '!E70</f>
        <v>2.0249123902709831</v>
      </c>
      <c r="F14" s="124"/>
      <c r="G14" s="124"/>
      <c r="H14" s="124"/>
      <c r="I14" s="124"/>
      <c r="J14" s="124"/>
      <c r="K14" s="124"/>
    </row>
    <row r="15" spans="2:23" ht="17" x14ac:dyDescent="0.2">
      <c r="B15" s="160" t="s">
        <v>266</v>
      </c>
      <c r="C15" s="164">
        <f>('tesla financial modeling '!D61+'tesla financial modeling '!D62+'tesla financial modeling '!D63)/'tesla financial modeling '!D70</f>
        <v>1.5335498518004667</v>
      </c>
      <c r="D15" s="163">
        <f>('tesla financial modeling '!E61+'tesla financial modeling '!E62+'tesla financial modeling '!E63)/'tesla financial modeling '!E70</f>
        <v>1.421914576177093</v>
      </c>
      <c r="F15" s="124"/>
      <c r="G15" s="124"/>
      <c r="H15" s="124"/>
      <c r="I15" s="124"/>
      <c r="J15" s="124"/>
      <c r="K15" s="124"/>
    </row>
    <row r="16" spans="2:23" ht="17" x14ac:dyDescent="0.2">
      <c r="B16" s="160" t="s">
        <v>267</v>
      </c>
      <c r="C16" s="164">
        <f>('tesla financial modeling '!D61+'tesla financial modeling '!D62)/'tesla financial modeling '!D70</f>
        <v>1.3892602636059785</v>
      </c>
      <c r="D16" s="163">
        <f>('tesla financial modeling '!E61+'tesla financial modeling '!E62)/'tesla financial modeling '!E70</f>
        <v>1.2686235730890669</v>
      </c>
      <c r="F16" s="124"/>
      <c r="G16" s="124"/>
      <c r="H16" s="124"/>
      <c r="I16" s="124"/>
      <c r="J16" s="124"/>
      <c r="K16" s="124"/>
    </row>
    <row r="17" spans="2:13" ht="17" x14ac:dyDescent="0.2">
      <c r="B17" s="160" t="s">
        <v>268</v>
      </c>
      <c r="C17" s="164">
        <f>'tesla financial modeling '!D72/'tesla financial modeling '!D76</f>
        <v>0.1019759669819935</v>
      </c>
      <c r="D17" s="163">
        <f>'tesla financial modeling '!E72/'tesla financial modeling '!E76</f>
        <v>0.11264109280923841</v>
      </c>
      <c r="F17" s="124"/>
      <c r="G17" s="124"/>
      <c r="H17" s="124"/>
      <c r="I17" s="124"/>
      <c r="J17" s="124"/>
      <c r="K17" s="124"/>
    </row>
    <row r="18" spans="2:13" ht="17" x14ac:dyDescent="0.2">
      <c r="B18" s="160" t="s">
        <v>269</v>
      </c>
      <c r="C18" s="164">
        <f>'tesla financial modeling '!D72/'tesla financial modeling '!D69</f>
        <v>6.0781098065396284E-2</v>
      </c>
      <c r="D18" s="163">
        <f>'tesla financial modeling '!E72/'tesla financial modeling '!E69</f>
        <v>6.7281068239534697E-2</v>
      </c>
      <c r="F18" s="124"/>
      <c r="G18" s="124"/>
      <c r="H18" s="124"/>
      <c r="I18" s="124"/>
      <c r="J18" s="124"/>
      <c r="K18" s="124"/>
    </row>
    <row r="19" spans="2:13" ht="51" x14ac:dyDescent="0.2">
      <c r="B19" s="160" t="s">
        <v>270</v>
      </c>
      <c r="C19" s="164">
        <f>'tesla financial modeling '!D81/'tesla financial modeling '!D70</f>
        <v>0.46499968468184399</v>
      </c>
      <c r="D19" s="163">
        <f>'tesla financial modeling '!E81/'tesla financial modeling '!E70</f>
        <v>0.51778217272127958</v>
      </c>
      <c r="F19" s="124"/>
      <c r="G19" s="124"/>
      <c r="H19" s="124"/>
      <c r="I19" s="124"/>
      <c r="J19" s="124"/>
      <c r="K19" s="124"/>
    </row>
    <row r="20" spans="2:13" ht="34" x14ac:dyDescent="0.2">
      <c r="B20" s="160" t="s">
        <v>271</v>
      </c>
      <c r="C20" s="164">
        <f>'tesla financial modeling '!D83/'tesla financial modeling '!D44</f>
        <v>6.5593132757547953E-2</v>
      </c>
      <c r="D20" s="165">
        <f>'tesla financial modeling '!E83/'tesla financial modeling '!E44</f>
        <v>3.665677141979732E-2</v>
      </c>
      <c r="F20" s="124"/>
      <c r="G20" s="124"/>
      <c r="H20" s="124"/>
      <c r="I20" s="124"/>
      <c r="J20" s="124"/>
      <c r="K20" s="124"/>
    </row>
    <row r="21" spans="2:13" x14ac:dyDescent="0.2">
      <c r="B21" s="155"/>
      <c r="C21" s="153"/>
      <c r="D21" s="153"/>
      <c r="F21" s="124"/>
      <c r="G21" s="124"/>
      <c r="H21" s="124"/>
      <c r="I21" s="124"/>
      <c r="J21" s="124"/>
      <c r="K21" s="124"/>
    </row>
    <row r="24" spans="2:13" ht="34" customHeight="1" x14ac:dyDescent="0.2">
      <c r="B24" s="167" t="s">
        <v>281</v>
      </c>
      <c r="C24" s="167"/>
      <c r="D24" s="167"/>
      <c r="E24" s="167"/>
      <c r="F24" s="167"/>
    </row>
    <row r="25" spans="2:13" x14ac:dyDescent="0.2">
      <c r="B25" s="168"/>
      <c r="C25" s="169" t="s">
        <v>273</v>
      </c>
      <c r="D25" s="169" t="s">
        <v>274</v>
      </c>
      <c r="E25" s="169" t="s">
        <v>275</v>
      </c>
      <c r="F25" s="169" t="s">
        <v>276</v>
      </c>
      <c r="H25" s="171" t="s">
        <v>282</v>
      </c>
      <c r="I25" s="172"/>
      <c r="J25" s="172"/>
      <c r="K25" s="172"/>
      <c r="L25" s="172"/>
      <c r="M25" s="172"/>
    </row>
    <row r="26" spans="2:13" ht="34" x14ac:dyDescent="0.2">
      <c r="B26" s="160" t="s">
        <v>278</v>
      </c>
      <c r="C26" s="32">
        <v>0</v>
      </c>
      <c r="D26" s="32">
        <v>-0.1</v>
      </c>
      <c r="E26" s="32">
        <v>-0.2</v>
      </c>
      <c r="F26" s="32">
        <v>-0.3</v>
      </c>
      <c r="H26" s="172"/>
      <c r="I26" s="172"/>
      <c r="J26" s="172"/>
      <c r="K26" s="172"/>
      <c r="L26" s="172"/>
      <c r="M26" s="172"/>
    </row>
    <row r="27" spans="2:13" ht="17" x14ac:dyDescent="0.2">
      <c r="B27" s="160" t="s">
        <v>277</v>
      </c>
      <c r="C27" s="17">
        <f>'TSLA forecastin &amp; evaluation '!E28</f>
        <v>99260.7</v>
      </c>
      <c r="D27" s="17">
        <f>$C$27*(1+D26)</f>
        <v>89334.63</v>
      </c>
      <c r="E27" s="17">
        <f t="shared" ref="E27:F27" si="2">$C$27*(1+E26)</f>
        <v>79408.56</v>
      </c>
      <c r="F27" s="17">
        <f t="shared" si="2"/>
        <v>69482.489999999991</v>
      </c>
      <c r="H27" s="172"/>
      <c r="I27" s="172"/>
      <c r="J27" s="172"/>
      <c r="K27" s="172"/>
      <c r="L27" s="172"/>
      <c r="M27" s="172"/>
    </row>
    <row r="28" spans="2:13" ht="34" x14ac:dyDescent="0.2">
      <c r="B28" s="160" t="s">
        <v>51</v>
      </c>
      <c r="C28" s="17">
        <f>'TSLA forecastin &amp; evaluation '!E52</f>
        <v>5555.6419999999962</v>
      </c>
      <c r="D28" s="17">
        <f>D27-(($C$27-$C$28)*80%*(1+D26))-($C$27-$C$28)*20%</f>
        <v>3125.9766399999899</v>
      </c>
      <c r="E28" s="17">
        <f t="shared" ref="E28:F28" si="3">E27-(($C$27-$C$28)*80%*(1+E26))-($C$27-$C$28)*20%</f>
        <v>696.3112799999908</v>
      </c>
      <c r="F28" s="17">
        <f t="shared" si="3"/>
        <v>-1733.3540800000155</v>
      </c>
      <c r="H28" s="172"/>
      <c r="I28" s="172"/>
      <c r="J28" s="172"/>
      <c r="K28" s="172"/>
      <c r="L28" s="172"/>
      <c r="M28" s="172"/>
    </row>
    <row r="29" spans="2:13" ht="34" x14ac:dyDescent="0.2">
      <c r="B29" s="160" t="s">
        <v>52</v>
      </c>
      <c r="C29" s="79">
        <f>C28/C27</f>
        <v>5.5970207745865141E-2</v>
      </c>
      <c r="D29" s="79">
        <f t="shared" ref="D29:F29" si="4">D28/D27</f>
        <v>3.4991767917995402E-2</v>
      </c>
      <c r="E29" s="79">
        <f t="shared" si="4"/>
        <v>8.7687181331583246E-3</v>
      </c>
      <c r="F29" s="79">
        <f t="shared" si="4"/>
        <v>-2.4946631590203744E-2</v>
      </c>
      <c r="H29" s="172"/>
      <c r="I29" s="172"/>
      <c r="J29" s="172"/>
      <c r="K29" s="172"/>
      <c r="L29" s="172"/>
      <c r="M29" s="172"/>
    </row>
    <row r="30" spans="2:13" ht="34" x14ac:dyDescent="0.2">
      <c r="B30" s="160" t="s">
        <v>279</v>
      </c>
      <c r="C30" s="17">
        <f>C27-$C$27</f>
        <v>0</v>
      </c>
      <c r="D30" s="17">
        <f t="shared" ref="D30:F30" si="5">D27-$C$27</f>
        <v>-9926.0699999999924</v>
      </c>
      <c r="E30" s="17">
        <f t="shared" si="5"/>
        <v>-19852.14</v>
      </c>
      <c r="F30" s="17">
        <f t="shared" si="5"/>
        <v>-29778.210000000006</v>
      </c>
      <c r="H30" s="172"/>
      <c r="I30" s="172"/>
      <c r="J30" s="172"/>
      <c r="K30" s="172"/>
      <c r="L30" s="172"/>
      <c r="M30" s="172"/>
    </row>
    <row r="31" spans="2:13" ht="51" x14ac:dyDescent="0.2">
      <c r="B31" s="160" t="s">
        <v>280</v>
      </c>
      <c r="C31" s="17">
        <f>C28-$C$28</f>
        <v>0</v>
      </c>
      <c r="D31" s="17">
        <f t="shared" ref="D31:F31" si="6">D28-$C$28</f>
        <v>-2429.6653600000063</v>
      </c>
      <c r="E31" s="17">
        <f t="shared" si="6"/>
        <v>-4859.3307200000054</v>
      </c>
      <c r="F31" s="17">
        <f t="shared" si="6"/>
        <v>-7288.9960800000117</v>
      </c>
      <c r="H31" s="172"/>
      <c r="I31" s="172"/>
      <c r="J31" s="172"/>
      <c r="K31" s="172"/>
      <c r="L31" s="172"/>
      <c r="M31" s="172"/>
    </row>
    <row r="32" spans="2:13" x14ac:dyDescent="0.2">
      <c r="H32" s="172"/>
      <c r="I32" s="172"/>
      <c r="J32" s="172"/>
      <c r="K32" s="172"/>
      <c r="L32" s="172"/>
      <c r="M32" s="172"/>
    </row>
    <row r="33" spans="2:13" x14ac:dyDescent="0.2">
      <c r="H33" s="172"/>
      <c r="I33" s="172"/>
      <c r="J33" s="172"/>
      <c r="K33" s="172"/>
      <c r="L33" s="172"/>
      <c r="M33" s="172"/>
    </row>
    <row r="34" spans="2:13" x14ac:dyDescent="0.2">
      <c r="H34" s="172"/>
      <c r="I34" s="172"/>
      <c r="J34" s="172"/>
      <c r="K34" s="172"/>
      <c r="L34" s="172"/>
      <c r="M34" s="172"/>
    </row>
    <row r="38" spans="2:13" x14ac:dyDescent="0.2">
      <c r="B38" s="167" t="s">
        <v>283</v>
      </c>
      <c r="C38" s="167"/>
      <c r="D38" s="167"/>
      <c r="E38" s="167"/>
      <c r="F38" s="167"/>
    </row>
    <row r="39" spans="2:13" x14ac:dyDescent="0.2">
      <c r="B39" s="168"/>
      <c r="C39" s="169" t="s">
        <v>273</v>
      </c>
      <c r="D39" s="169" t="s">
        <v>274</v>
      </c>
      <c r="E39" s="169" t="s">
        <v>275</v>
      </c>
      <c r="F39" s="169" t="s">
        <v>276</v>
      </c>
    </row>
    <row r="40" spans="2:13" ht="34" x14ac:dyDescent="0.2">
      <c r="B40" s="160" t="s">
        <v>284</v>
      </c>
      <c r="C40" s="32">
        <v>0</v>
      </c>
      <c r="D40" s="32">
        <v>0.05</v>
      </c>
      <c r="E40" s="32">
        <v>0.1</v>
      </c>
      <c r="F40" s="32">
        <v>0.15</v>
      </c>
      <c r="H40" s="170" t="s">
        <v>289</v>
      </c>
      <c r="I40" s="124"/>
      <c r="J40" s="124"/>
      <c r="K40" s="124"/>
      <c r="L40" s="124"/>
      <c r="M40" s="124"/>
    </row>
    <row r="41" spans="2:13" ht="17" x14ac:dyDescent="0.2">
      <c r="B41" s="160" t="s">
        <v>285</v>
      </c>
      <c r="C41" s="17">
        <f>$C$27</f>
        <v>99260.7</v>
      </c>
      <c r="D41" s="17">
        <f t="shared" ref="D41:F41" si="7">$C$27</f>
        <v>99260.7</v>
      </c>
      <c r="E41" s="17">
        <f t="shared" si="7"/>
        <v>99260.7</v>
      </c>
      <c r="F41" s="17">
        <f t="shared" si="7"/>
        <v>99260.7</v>
      </c>
      <c r="H41" s="124"/>
      <c r="I41" s="124"/>
      <c r="J41" s="124"/>
      <c r="K41" s="124"/>
      <c r="L41" s="124"/>
      <c r="M41" s="124"/>
    </row>
    <row r="42" spans="2:13" ht="51" x14ac:dyDescent="0.2">
      <c r="B42" s="160" t="s">
        <v>286</v>
      </c>
      <c r="C42" s="17">
        <f>$C$27-$C$28</f>
        <v>93705.058000000005</v>
      </c>
      <c r="D42" s="17">
        <f t="shared" ref="D42:F42" si="8">$C$27-$C$28</f>
        <v>93705.058000000005</v>
      </c>
      <c r="E42" s="17">
        <f t="shared" si="8"/>
        <v>93705.058000000005</v>
      </c>
      <c r="F42" s="17">
        <f t="shared" si="8"/>
        <v>93705.058000000005</v>
      </c>
      <c r="H42" s="124"/>
      <c r="I42" s="124"/>
      <c r="J42" s="124"/>
      <c r="K42" s="124"/>
      <c r="L42" s="124"/>
      <c r="M42" s="124"/>
    </row>
    <row r="43" spans="2:13" ht="51" x14ac:dyDescent="0.2">
      <c r="B43" s="160" t="s">
        <v>287</v>
      </c>
      <c r="C43" s="17">
        <f>C42*(1+C40)</f>
        <v>93705.058000000005</v>
      </c>
      <c r="D43" s="17">
        <f t="shared" ref="D43:F43" si="9">D42*(1+D40)</f>
        <v>98390.310900000011</v>
      </c>
      <c r="E43" s="17">
        <f t="shared" si="9"/>
        <v>103075.56380000002</v>
      </c>
      <c r="F43" s="17">
        <f t="shared" si="9"/>
        <v>107760.8167</v>
      </c>
      <c r="H43" s="124"/>
      <c r="I43" s="124"/>
      <c r="J43" s="124"/>
      <c r="K43" s="124"/>
      <c r="L43" s="124"/>
      <c r="M43" s="124"/>
    </row>
    <row r="44" spans="2:13" ht="34" x14ac:dyDescent="0.2">
      <c r="B44" s="160" t="s">
        <v>51</v>
      </c>
      <c r="C44" s="17">
        <f>C41-C43</f>
        <v>5555.6419999999925</v>
      </c>
      <c r="D44" s="17">
        <f t="shared" ref="D44:F44" si="10">D41-D43</f>
        <v>870.38909999998577</v>
      </c>
      <c r="E44" s="17">
        <f t="shared" si="10"/>
        <v>-3814.863800000021</v>
      </c>
      <c r="F44" s="17">
        <f t="shared" si="10"/>
        <v>-8500.1166999999987</v>
      </c>
      <c r="H44" s="124"/>
      <c r="I44" s="124"/>
      <c r="J44" s="124"/>
      <c r="K44" s="124"/>
      <c r="L44" s="124"/>
      <c r="M44" s="124"/>
    </row>
    <row r="45" spans="2:13" ht="34" x14ac:dyDescent="0.2">
      <c r="B45" s="160" t="s">
        <v>52</v>
      </c>
      <c r="C45" s="32">
        <f>C44/C41</f>
        <v>5.5970207745865107E-2</v>
      </c>
      <c r="D45" s="32">
        <f t="shared" ref="D45:F45" si="11">D44/D41</f>
        <v>8.7687181331582969E-3</v>
      </c>
      <c r="E45" s="32">
        <f t="shared" si="11"/>
        <v>-3.8432771479548516E-2</v>
      </c>
      <c r="F45" s="32">
        <f t="shared" si="11"/>
        <v>-8.5634261092255026E-2</v>
      </c>
      <c r="H45" s="124"/>
      <c r="I45" s="124"/>
      <c r="J45" s="124"/>
      <c r="K45" s="124"/>
      <c r="L45" s="124"/>
      <c r="M45" s="124"/>
    </row>
    <row r="46" spans="2:13" ht="51" x14ac:dyDescent="0.2">
      <c r="B46" s="160" t="s">
        <v>288</v>
      </c>
      <c r="C46" s="17">
        <f>C44-$C$28</f>
        <v>0</v>
      </c>
      <c r="D46" s="17">
        <f t="shared" ref="D46:F46" si="12">D44-$C$28</f>
        <v>-4685.2529000000104</v>
      </c>
      <c r="E46" s="17">
        <f t="shared" si="12"/>
        <v>-9370.5058000000172</v>
      </c>
      <c r="F46" s="17">
        <f t="shared" si="12"/>
        <v>-14055.758699999995</v>
      </c>
      <c r="H46" s="124"/>
      <c r="I46" s="124"/>
      <c r="J46" s="124"/>
      <c r="K46" s="124"/>
      <c r="L46" s="124"/>
      <c r="M46" s="124"/>
    </row>
    <row r="47" spans="2:13" x14ac:dyDescent="0.2">
      <c r="H47" s="124"/>
      <c r="I47" s="124"/>
      <c r="J47" s="124"/>
      <c r="K47" s="124"/>
      <c r="L47" s="124"/>
      <c r="M47" s="124"/>
    </row>
    <row r="48" spans="2:13" x14ac:dyDescent="0.2">
      <c r="H48" s="124"/>
      <c r="I48" s="124"/>
      <c r="J48" s="124"/>
      <c r="K48" s="124"/>
      <c r="L48" s="124"/>
      <c r="M48" s="124"/>
    </row>
    <row r="49" spans="2:13" x14ac:dyDescent="0.2">
      <c r="H49" s="124"/>
      <c r="I49" s="124"/>
      <c r="J49" s="124"/>
      <c r="K49" s="124"/>
      <c r="L49" s="124"/>
      <c r="M49" s="124"/>
    </row>
    <row r="52" spans="2:13" x14ac:dyDescent="0.2">
      <c r="B52" s="167" t="s">
        <v>295</v>
      </c>
      <c r="C52" s="167"/>
      <c r="D52" s="167"/>
      <c r="E52" s="167"/>
      <c r="F52" s="167"/>
    </row>
    <row r="53" spans="2:13" x14ac:dyDescent="0.2">
      <c r="B53" s="168"/>
      <c r="C53" s="169" t="s">
        <v>273</v>
      </c>
      <c r="D53" s="169" t="s">
        <v>274</v>
      </c>
      <c r="E53" s="169" t="s">
        <v>275</v>
      </c>
      <c r="F53" s="169" t="s">
        <v>276</v>
      </c>
      <c r="H53" s="166" t="s">
        <v>297</v>
      </c>
      <c r="I53" s="173"/>
      <c r="J53" s="173"/>
      <c r="K53" s="173"/>
      <c r="L53" s="173"/>
      <c r="M53" s="173"/>
    </row>
    <row r="54" spans="2:13" ht="34" x14ac:dyDescent="0.2">
      <c r="B54" s="160" t="s">
        <v>284</v>
      </c>
      <c r="C54" s="32">
        <v>0</v>
      </c>
      <c r="D54" s="32">
        <v>-0.1</v>
      </c>
      <c r="E54" s="32">
        <v>-0.2</v>
      </c>
      <c r="F54" s="32">
        <v>-0.3</v>
      </c>
      <c r="H54" s="173"/>
      <c r="I54" s="173"/>
      <c r="J54" s="173"/>
      <c r="K54" s="173"/>
      <c r="L54" s="173"/>
      <c r="M54" s="173"/>
    </row>
    <row r="55" spans="2:13" ht="34" x14ac:dyDescent="0.2">
      <c r="B55" s="160" t="s">
        <v>290</v>
      </c>
      <c r="C55" s="32">
        <v>0</v>
      </c>
      <c r="D55" s="32">
        <v>0.05</v>
      </c>
      <c r="E55" s="32">
        <v>0.1</v>
      </c>
      <c r="F55" s="32">
        <v>0.15</v>
      </c>
      <c r="H55" s="173"/>
      <c r="I55" s="173"/>
      <c r="J55" s="173"/>
      <c r="K55" s="173"/>
      <c r="L55" s="173"/>
      <c r="M55" s="173"/>
    </row>
    <row r="56" spans="2:13" ht="34" x14ac:dyDescent="0.2">
      <c r="B56" s="160" t="s">
        <v>115</v>
      </c>
      <c r="C56" s="17">
        <f>'TSLA forecastin &amp; evaluation '!E79</f>
        <v>14533.997999999996</v>
      </c>
      <c r="D56" s="17">
        <f>$C$56*(1+D54)</f>
        <v>13080.598199999997</v>
      </c>
      <c r="E56" s="17">
        <f t="shared" ref="E56:F56" si="13">$C$56*(1+E54)</f>
        <v>11627.198399999997</v>
      </c>
      <c r="F56" s="17">
        <f t="shared" si="13"/>
        <v>10173.798599999996</v>
      </c>
      <c r="H56" s="173"/>
      <c r="I56" s="173"/>
      <c r="J56" s="173"/>
      <c r="K56" s="173"/>
      <c r="L56" s="173"/>
      <c r="M56" s="173"/>
    </row>
    <row r="57" spans="2:13" ht="17" x14ac:dyDescent="0.2">
      <c r="B57" s="160" t="s">
        <v>291</v>
      </c>
      <c r="C57" s="17">
        <f>'TSLA forecastin &amp; evaluation '!E80</f>
        <v>11911.284</v>
      </c>
      <c r="D57" s="17">
        <f>$C$57*(1+D55)</f>
        <v>12506.8482</v>
      </c>
      <c r="E57" s="17">
        <f>$C$57*(1+E55)</f>
        <v>13102.412400000001</v>
      </c>
      <c r="F57" s="17">
        <f>$C$57*(1+F55)</f>
        <v>13697.976599999998</v>
      </c>
      <c r="H57" s="173"/>
      <c r="I57" s="173"/>
      <c r="J57" s="173"/>
      <c r="K57" s="173"/>
      <c r="L57" s="173"/>
      <c r="M57" s="173"/>
    </row>
    <row r="58" spans="2:13" ht="17" x14ac:dyDescent="0.2">
      <c r="B58" s="160" t="s">
        <v>292</v>
      </c>
      <c r="C58" s="17">
        <f>'TSLA forecastin &amp; evaluation '!E81</f>
        <v>2622.7139999999963</v>
      </c>
      <c r="D58" s="17">
        <f>D56-D57</f>
        <v>573.74999999999636</v>
      </c>
      <c r="E58" s="17">
        <f t="shared" ref="E58:F58" si="14">E56-E57</f>
        <v>-1475.2140000000036</v>
      </c>
      <c r="F58" s="17">
        <f t="shared" si="14"/>
        <v>-3524.1780000000017</v>
      </c>
      <c r="H58" s="173"/>
      <c r="I58" s="173"/>
      <c r="J58" s="173"/>
      <c r="K58" s="173"/>
      <c r="L58" s="173"/>
      <c r="M58" s="173"/>
    </row>
    <row r="59" spans="2:13" ht="17" x14ac:dyDescent="0.2">
      <c r="B59" s="160" t="s">
        <v>293</v>
      </c>
      <c r="C59" s="32">
        <f>C58/$C$27</f>
        <v>2.6422481405027332E-2</v>
      </c>
      <c r="D59" s="32">
        <f>D58/$C$27</f>
        <v>5.7802332645245941E-3</v>
      </c>
      <c r="E59" s="32">
        <f t="shared" ref="E59:F59" si="15">E58/$C$27</f>
        <v>-1.4862014875978142E-2</v>
      </c>
      <c r="F59" s="32">
        <f t="shared" si="15"/>
        <v>-3.550426301648086E-2</v>
      </c>
      <c r="H59" s="173"/>
      <c r="I59" s="173"/>
      <c r="J59" s="173"/>
      <c r="K59" s="173"/>
      <c r="L59" s="173"/>
      <c r="M59" s="173"/>
    </row>
    <row r="60" spans="2:13" ht="34" x14ac:dyDescent="0.2">
      <c r="B60" s="160" t="s">
        <v>296</v>
      </c>
      <c r="C60" s="32">
        <f>(C58-$C$58)/$C$58</f>
        <v>0</v>
      </c>
      <c r="D60" s="32">
        <f t="shared" ref="D60:F60" si="16">(D58-$C$58)/$C$58</f>
        <v>-0.78123806103143645</v>
      </c>
      <c r="E60" s="32">
        <f t="shared" si="16"/>
        <v>-1.5624761220628729</v>
      </c>
      <c r="F60" s="32">
        <f t="shared" si="16"/>
        <v>-2.3437141830943085</v>
      </c>
      <c r="H60" s="173"/>
      <c r="I60" s="173"/>
      <c r="J60" s="173"/>
      <c r="K60" s="173"/>
      <c r="L60" s="173"/>
      <c r="M60" s="173"/>
    </row>
    <row r="61" spans="2:13" ht="17" x14ac:dyDescent="0.2">
      <c r="B61" s="160" t="s">
        <v>294</v>
      </c>
      <c r="C61" t="str">
        <f>IF(C58&lt;0,"Negative FCF","Positive FCF")</f>
        <v>Positive FCF</v>
      </c>
      <c r="D61" t="str">
        <f t="shared" ref="D61:F61" si="17">IF(D58&lt;0,"Negative FCF","Positive FCF")</f>
        <v>Positive FCF</v>
      </c>
      <c r="E61" t="str">
        <f t="shared" si="17"/>
        <v>Negative FCF</v>
      </c>
      <c r="F61" t="str">
        <f t="shared" si="17"/>
        <v>Negative FCF</v>
      </c>
      <c r="H61" s="173"/>
      <c r="I61" s="173"/>
      <c r="J61" s="173"/>
      <c r="K61" s="173"/>
      <c r="L61" s="173"/>
      <c r="M61" s="173"/>
    </row>
    <row r="62" spans="2:13" x14ac:dyDescent="0.2">
      <c r="H62" s="173"/>
      <c r="I62" s="173"/>
      <c r="J62" s="173"/>
      <c r="K62" s="173"/>
      <c r="L62" s="173"/>
      <c r="M62" s="173"/>
    </row>
    <row r="68" spans="2:15" x14ac:dyDescent="0.2">
      <c r="B68" s="167" t="s">
        <v>298</v>
      </c>
      <c r="C68" s="167"/>
      <c r="D68" s="167"/>
      <c r="E68" s="167"/>
      <c r="F68" s="167"/>
    </row>
    <row r="69" spans="2:15" ht="17" x14ac:dyDescent="0.2">
      <c r="B69" s="156" t="s">
        <v>299</v>
      </c>
      <c r="F69" s="34"/>
      <c r="G69" s="4" t="s">
        <v>309</v>
      </c>
      <c r="J69" s="166" t="s">
        <v>316</v>
      </c>
      <c r="K69" s="173"/>
      <c r="L69" s="173"/>
      <c r="M69" s="173"/>
      <c r="N69" s="173"/>
      <c r="O69" s="173"/>
    </row>
    <row r="70" spans="2:15" ht="51" x14ac:dyDescent="0.2">
      <c r="B70" s="156" t="s">
        <v>300</v>
      </c>
      <c r="C70" s="17">
        <f>$C$56</f>
        <v>14533.997999999996</v>
      </c>
      <c r="F70" s="34"/>
      <c r="G70" t="s">
        <v>310</v>
      </c>
      <c r="H70">
        <f ca="1">AVERAGE(E76:E1075)</f>
        <v>2695.9797693533546</v>
      </c>
      <c r="J70" s="173"/>
      <c r="K70" s="173"/>
      <c r="L70" s="173"/>
      <c r="M70" s="173"/>
      <c r="N70" s="173"/>
      <c r="O70" s="173"/>
    </row>
    <row r="71" spans="2:15" ht="17" x14ac:dyDescent="0.2">
      <c r="B71" s="156" t="s">
        <v>301</v>
      </c>
      <c r="C71" s="17">
        <f>$C$57</f>
        <v>11911.284</v>
      </c>
      <c r="F71" s="34"/>
      <c r="G71" t="s">
        <v>311</v>
      </c>
      <c r="H71">
        <f ca="1">MIN(E76:E1075)</f>
        <v>-3671.9267595324327</v>
      </c>
      <c r="J71" s="173"/>
      <c r="K71" s="173"/>
      <c r="L71" s="173"/>
      <c r="M71" s="173"/>
      <c r="N71" s="173"/>
      <c r="O71" s="173"/>
    </row>
    <row r="72" spans="2:15" ht="17" x14ac:dyDescent="0.2">
      <c r="B72" s="156" t="s">
        <v>302</v>
      </c>
      <c r="C72" s="110">
        <v>0.1</v>
      </c>
      <c r="F72" s="34"/>
      <c r="G72" t="s">
        <v>312</v>
      </c>
      <c r="H72">
        <f ca="1">MAX(E76:E1075)</f>
        <v>8425.2843165728118</v>
      </c>
      <c r="J72" s="173"/>
      <c r="K72" s="173"/>
      <c r="L72" s="173"/>
      <c r="M72" s="173"/>
      <c r="N72" s="173"/>
      <c r="O72" s="173"/>
    </row>
    <row r="73" spans="2:15" ht="34" x14ac:dyDescent="0.2">
      <c r="B73" s="156" t="s">
        <v>303</v>
      </c>
      <c r="C73" s="110">
        <v>0.1</v>
      </c>
      <c r="F73" s="34"/>
      <c r="G73" t="s">
        <v>313</v>
      </c>
      <c r="H73">
        <f ca="1">COUNTIF(E76:E1075,"&lt;0")/COUNT(E76:E1075)</f>
        <v>7.4999999999999997E-2</v>
      </c>
      <c r="J73" s="173"/>
      <c r="K73" s="173"/>
      <c r="L73" s="173"/>
      <c r="M73" s="173"/>
      <c r="N73" s="173"/>
      <c r="O73" s="173"/>
    </row>
    <row r="74" spans="2:15" ht="34" x14ac:dyDescent="0.2">
      <c r="B74" s="156" t="s">
        <v>304</v>
      </c>
      <c r="C74">
        <v>1000</v>
      </c>
      <c r="F74" s="34"/>
      <c r="G74" t="s">
        <v>314</v>
      </c>
      <c r="H74">
        <f ca="1">_xlfn.PERCENTILE.INC(E76:E1075,0.05)</f>
        <v>-446.18270136295689</v>
      </c>
      <c r="J74" s="173"/>
      <c r="K74" s="173"/>
      <c r="L74" s="173"/>
      <c r="M74" s="173"/>
      <c r="N74" s="173"/>
      <c r="O74" s="173"/>
    </row>
    <row r="75" spans="2:15" ht="17" x14ac:dyDescent="0.2">
      <c r="B75" s="67" t="s">
        <v>305</v>
      </c>
      <c r="C75" s="4" t="s">
        <v>306</v>
      </c>
      <c r="D75" s="4" t="s">
        <v>307</v>
      </c>
      <c r="E75" s="4" t="s">
        <v>308</v>
      </c>
      <c r="F75" s="34"/>
      <c r="G75" s="174" t="s">
        <v>315</v>
      </c>
      <c r="H75">
        <f ca="1">_xlfn.PERCENTILE.INC(E76:E1075,0.95)</f>
        <v>5631.3799979198529</v>
      </c>
      <c r="J75" s="173"/>
      <c r="K75" s="173"/>
      <c r="L75" s="173"/>
      <c r="M75" s="173"/>
      <c r="N75" s="173"/>
      <c r="O75" s="173"/>
    </row>
    <row r="76" spans="2:15" x14ac:dyDescent="0.2">
      <c r="B76" s="156">
        <v>1</v>
      </c>
      <c r="C76">
        <f ca="1">$C$70*(1+_xlfn.NORM.S.INV(RAND())*$C$72)</f>
        <v>14333.331982779831</v>
      </c>
      <c r="D76">
        <f ca="1">$C$71*(1+_xlfn.NORM.S.INV(RAND())*$C$73)</f>
        <v>11196.728748189716</v>
      </c>
      <c r="E76">
        <f ca="1">C76-D76</f>
        <v>3136.6032345901149</v>
      </c>
      <c r="J76" s="173"/>
      <c r="K76" s="173"/>
      <c r="L76" s="173"/>
      <c r="M76" s="173"/>
      <c r="N76" s="173"/>
      <c r="O76" s="173"/>
    </row>
    <row r="77" spans="2:15" x14ac:dyDescent="0.2">
      <c r="B77" s="156">
        <f>B76+1</f>
        <v>2</v>
      </c>
      <c r="C77">
        <f t="shared" ref="C77:C140" ca="1" si="18">$C$70*(1+_xlfn.NORM.S.INV(RAND())*$C$72)</f>
        <v>15539.169812304879</v>
      </c>
      <c r="D77">
        <f t="shared" ref="D77:D140" ca="1" si="19">$C$71*(1+_xlfn.NORM.S.INV(RAND())*$C$73)</f>
        <v>11970.431375196486</v>
      </c>
      <c r="E77">
        <f t="shared" ref="E77:E140" ca="1" si="20">C77-D77</f>
        <v>3568.7384371083936</v>
      </c>
      <c r="J77" s="173"/>
      <c r="K77" s="173"/>
      <c r="L77" s="173"/>
      <c r="M77" s="173"/>
      <c r="N77" s="173"/>
      <c r="O77" s="173"/>
    </row>
    <row r="78" spans="2:15" x14ac:dyDescent="0.2">
      <c r="B78" s="156">
        <f t="shared" ref="B78:B141" si="21">B77+1</f>
        <v>3</v>
      </c>
      <c r="C78">
        <f t="shared" ca="1" si="18"/>
        <v>17356.293771700544</v>
      </c>
      <c r="D78">
        <f t="shared" ca="1" si="19"/>
        <v>10663.847609051465</v>
      </c>
      <c r="E78">
        <f t="shared" ca="1" si="20"/>
        <v>6692.4461626490793</v>
      </c>
      <c r="J78" s="173"/>
      <c r="K78" s="173"/>
      <c r="L78" s="173"/>
      <c r="M78" s="173"/>
      <c r="N78" s="173"/>
      <c r="O78" s="173"/>
    </row>
    <row r="79" spans="2:15" x14ac:dyDescent="0.2">
      <c r="B79" s="156">
        <f t="shared" si="21"/>
        <v>4</v>
      </c>
      <c r="C79">
        <f t="shared" ca="1" si="18"/>
        <v>14174.3581098659</v>
      </c>
      <c r="D79">
        <f t="shared" ca="1" si="19"/>
        <v>12098.298493831371</v>
      </c>
      <c r="E79">
        <f t="shared" ca="1" si="20"/>
        <v>2076.0596160345285</v>
      </c>
    </row>
    <row r="80" spans="2:15" x14ac:dyDescent="0.2">
      <c r="B80" s="156">
        <f t="shared" si="21"/>
        <v>5</v>
      </c>
      <c r="C80">
        <f t="shared" ca="1" si="18"/>
        <v>15647.990397777015</v>
      </c>
      <c r="D80">
        <f t="shared" ca="1" si="19"/>
        <v>11979.004543360146</v>
      </c>
      <c r="E80">
        <f t="shared" ca="1" si="20"/>
        <v>3668.9858544168692</v>
      </c>
    </row>
    <row r="81" spans="2:5" x14ac:dyDescent="0.2">
      <c r="B81" s="156">
        <f t="shared" si="21"/>
        <v>6</v>
      </c>
      <c r="C81">
        <f t="shared" ca="1" si="18"/>
        <v>14257.309153963197</v>
      </c>
      <c r="D81">
        <f t="shared" ca="1" si="19"/>
        <v>12476.961932598726</v>
      </c>
      <c r="E81">
        <f t="shared" ca="1" si="20"/>
        <v>1780.3472213644709</v>
      </c>
    </row>
    <row r="82" spans="2:5" x14ac:dyDescent="0.2">
      <c r="B82" s="156">
        <f t="shared" si="21"/>
        <v>7</v>
      </c>
      <c r="C82">
        <f t="shared" ca="1" si="18"/>
        <v>16937.04900808087</v>
      </c>
      <c r="D82">
        <f t="shared" ca="1" si="19"/>
        <v>12938.218145456996</v>
      </c>
      <c r="E82">
        <f t="shared" ca="1" si="20"/>
        <v>3998.8308626238741</v>
      </c>
    </row>
    <row r="83" spans="2:5" x14ac:dyDescent="0.2">
      <c r="B83" s="156">
        <f t="shared" si="21"/>
        <v>8</v>
      </c>
      <c r="C83">
        <f t="shared" ca="1" si="18"/>
        <v>14665.840224747742</v>
      </c>
      <c r="D83">
        <f t="shared" ca="1" si="19"/>
        <v>12667.686860412477</v>
      </c>
      <c r="E83">
        <f t="shared" ca="1" si="20"/>
        <v>1998.153364335265</v>
      </c>
    </row>
    <row r="84" spans="2:5" x14ac:dyDescent="0.2">
      <c r="B84" s="156">
        <f t="shared" si="21"/>
        <v>9</v>
      </c>
      <c r="C84">
        <f t="shared" ca="1" si="18"/>
        <v>15544.161350342403</v>
      </c>
      <c r="D84">
        <f t="shared" ca="1" si="19"/>
        <v>10970.210294753822</v>
      </c>
      <c r="E84">
        <f t="shared" ca="1" si="20"/>
        <v>4573.9510555885809</v>
      </c>
    </row>
    <row r="85" spans="2:5" x14ac:dyDescent="0.2">
      <c r="B85" s="156">
        <f t="shared" si="21"/>
        <v>10</v>
      </c>
      <c r="C85">
        <f t="shared" ca="1" si="18"/>
        <v>15389.328614774871</v>
      </c>
      <c r="D85">
        <f t="shared" ca="1" si="19"/>
        <v>12373.679340244747</v>
      </c>
      <c r="E85">
        <f t="shared" ca="1" si="20"/>
        <v>3015.6492745301239</v>
      </c>
    </row>
    <row r="86" spans="2:5" x14ac:dyDescent="0.2">
      <c r="B86" s="156">
        <f t="shared" si="21"/>
        <v>11</v>
      </c>
      <c r="C86">
        <f t="shared" ca="1" si="18"/>
        <v>16788.190533859644</v>
      </c>
      <c r="D86">
        <f t="shared" ca="1" si="19"/>
        <v>10498.144033680541</v>
      </c>
      <c r="E86">
        <f t="shared" ca="1" si="20"/>
        <v>6290.0465001791035</v>
      </c>
    </row>
    <row r="87" spans="2:5" x14ac:dyDescent="0.2">
      <c r="B87" s="156">
        <f t="shared" si="21"/>
        <v>12</v>
      </c>
      <c r="C87">
        <f t="shared" ca="1" si="18"/>
        <v>17004.473214293528</v>
      </c>
      <c r="D87">
        <f t="shared" ca="1" si="19"/>
        <v>10768.16172408473</v>
      </c>
      <c r="E87">
        <f t="shared" ca="1" si="20"/>
        <v>6236.3114902087982</v>
      </c>
    </row>
    <row r="88" spans="2:5" x14ac:dyDescent="0.2">
      <c r="B88" s="156">
        <f t="shared" si="21"/>
        <v>13</v>
      </c>
      <c r="C88">
        <f t="shared" ca="1" si="18"/>
        <v>13808.56796869897</v>
      </c>
      <c r="D88">
        <f t="shared" ca="1" si="19"/>
        <v>12890.749254638265</v>
      </c>
      <c r="E88">
        <f t="shared" ca="1" si="20"/>
        <v>917.81871406070422</v>
      </c>
    </row>
    <row r="89" spans="2:5" x14ac:dyDescent="0.2">
      <c r="B89" s="156">
        <f t="shared" si="21"/>
        <v>14</v>
      </c>
      <c r="C89">
        <f t="shared" ca="1" si="18"/>
        <v>13207.962592693359</v>
      </c>
      <c r="D89">
        <f t="shared" ca="1" si="19"/>
        <v>10341.711617628505</v>
      </c>
      <c r="E89">
        <f t="shared" ca="1" si="20"/>
        <v>2866.2509750648533</v>
      </c>
    </row>
    <row r="90" spans="2:5" x14ac:dyDescent="0.2">
      <c r="B90" s="156">
        <f t="shared" si="21"/>
        <v>15</v>
      </c>
      <c r="C90">
        <f t="shared" ca="1" si="18"/>
        <v>15064.065014980533</v>
      </c>
      <c r="D90">
        <f t="shared" ca="1" si="19"/>
        <v>12870.75468977154</v>
      </c>
      <c r="E90">
        <f t="shared" ca="1" si="20"/>
        <v>2193.3103252089932</v>
      </c>
    </row>
    <row r="91" spans="2:5" x14ac:dyDescent="0.2">
      <c r="B91" s="156">
        <f t="shared" si="21"/>
        <v>16</v>
      </c>
      <c r="C91">
        <f t="shared" ca="1" si="18"/>
        <v>14162.22940022842</v>
      </c>
      <c r="D91">
        <f t="shared" ca="1" si="19"/>
        <v>12041.645943749005</v>
      </c>
      <c r="E91">
        <f t="shared" ca="1" si="20"/>
        <v>2120.583456479415</v>
      </c>
    </row>
    <row r="92" spans="2:5" x14ac:dyDescent="0.2">
      <c r="B92" s="156">
        <f t="shared" si="21"/>
        <v>17</v>
      </c>
      <c r="C92">
        <f t="shared" ca="1" si="18"/>
        <v>14995.226159542972</v>
      </c>
      <c r="D92">
        <f t="shared" ca="1" si="19"/>
        <v>9720.6927428303479</v>
      </c>
      <c r="E92">
        <f t="shared" ca="1" si="20"/>
        <v>5274.5334167126239</v>
      </c>
    </row>
    <row r="93" spans="2:5" x14ac:dyDescent="0.2">
      <c r="B93" s="156">
        <f t="shared" si="21"/>
        <v>18</v>
      </c>
      <c r="C93">
        <f t="shared" ca="1" si="18"/>
        <v>13796.011051743219</v>
      </c>
      <c r="D93">
        <f t="shared" ca="1" si="19"/>
        <v>12422.74435116562</v>
      </c>
      <c r="E93">
        <f t="shared" ca="1" si="20"/>
        <v>1373.2667005775984</v>
      </c>
    </row>
    <row r="94" spans="2:5" x14ac:dyDescent="0.2">
      <c r="B94" s="156">
        <f t="shared" si="21"/>
        <v>19</v>
      </c>
      <c r="C94">
        <f t="shared" ca="1" si="18"/>
        <v>14275.442794328699</v>
      </c>
      <c r="D94">
        <f t="shared" ca="1" si="19"/>
        <v>13228.641176281371</v>
      </c>
      <c r="E94">
        <f t="shared" ca="1" si="20"/>
        <v>1046.8016180473278</v>
      </c>
    </row>
    <row r="95" spans="2:5" x14ac:dyDescent="0.2">
      <c r="B95" s="156">
        <f t="shared" si="21"/>
        <v>20</v>
      </c>
      <c r="C95">
        <f t="shared" ca="1" si="18"/>
        <v>17662.225634766979</v>
      </c>
      <c r="D95">
        <f t="shared" ca="1" si="19"/>
        <v>12196.282223215232</v>
      </c>
      <c r="E95">
        <f t="shared" ca="1" si="20"/>
        <v>5465.943411551747</v>
      </c>
    </row>
    <row r="96" spans="2:5" x14ac:dyDescent="0.2">
      <c r="B96" s="156">
        <f t="shared" si="21"/>
        <v>21</v>
      </c>
      <c r="C96">
        <f t="shared" ca="1" si="18"/>
        <v>15305.701591586174</v>
      </c>
      <c r="D96">
        <f t="shared" ca="1" si="19"/>
        <v>12370.004963140682</v>
      </c>
      <c r="E96">
        <f t="shared" ca="1" si="20"/>
        <v>2935.696628445492</v>
      </c>
    </row>
    <row r="97" spans="2:5" x14ac:dyDescent="0.2">
      <c r="B97" s="156">
        <f t="shared" si="21"/>
        <v>22</v>
      </c>
      <c r="C97">
        <f t="shared" ca="1" si="18"/>
        <v>16639.142033841221</v>
      </c>
      <c r="D97">
        <f t="shared" ca="1" si="19"/>
        <v>13976.110684109111</v>
      </c>
      <c r="E97">
        <f t="shared" ca="1" si="20"/>
        <v>2663.0313497321094</v>
      </c>
    </row>
    <row r="98" spans="2:5" x14ac:dyDescent="0.2">
      <c r="B98" s="156">
        <f t="shared" si="21"/>
        <v>23</v>
      </c>
      <c r="C98">
        <f t="shared" ca="1" si="18"/>
        <v>14156.924799698636</v>
      </c>
      <c r="D98">
        <f t="shared" ca="1" si="19"/>
        <v>10116.022855113111</v>
      </c>
      <c r="E98">
        <f t="shared" ca="1" si="20"/>
        <v>4040.9019445855247</v>
      </c>
    </row>
    <row r="99" spans="2:5" x14ac:dyDescent="0.2">
      <c r="B99" s="156">
        <f t="shared" si="21"/>
        <v>24</v>
      </c>
      <c r="C99">
        <f t="shared" ca="1" si="18"/>
        <v>14686.155480522133</v>
      </c>
      <c r="D99">
        <f t="shared" ca="1" si="19"/>
        <v>12235.171438056743</v>
      </c>
      <c r="E99">
        <f t="shared" ca="1" si="20"/>
        <v>2450.9840424653903</v>
      </c>
    </row>
    <row r="100" spans="2:5" x14ac:dyDescent="0.2">
      <c r="B100" s="156">
        <f t="shared" si="21"/>
        <v>25</v>
      </c>
      <c r="C100">
        <f t="shared" ca="1" si="18"/>
        <v>15917.483542082691</v>
      </c>
      <c r="D100">
        <f t="shared" ca="1" si="19"/>
        <v>13512.570395603321</v>
      </c>
      <c r="E100">
        <f t="shared" ca="1" si="20"/>
        <v>2404.91314647937</v>
      </c>
    </row>
    <row r="101" spans="2:5" x14ac:dyDescent="0.2">
      <c r="B101" s="156">
        <f t="shared" si="21"/>
        <v>26</v>
      </c>
      <c r="C101">
        <f t="shared" ca="1" si="18"/>
        <v>15024.26583943472</v>
      </c>
      <c r="D101">
        <f t="shared" ca="1" si="19"/>
        <v>12161.39672933829</v>
      </c>
      <c r="E101">
        <f t="shared" ca="1" si="20"/>
        <v>2862.8691100964297</v>
      </c>
    </row>
    <row r="102" spans="2:5" x14ac:dyDescent="0.2">
      <c r="B102" s="156">
        <f t="shared" si="21"/>
        <v>27</v>
      </c>
      <c r="C102">
        <f t="shared" ca="1" si="18"/>
        <v>14920.613556892875</v>
      </c>
      <c r="D102">
        <f t="shared" ca="1" si="19"/>
        <v>11497.522240052678</v>
      </c>
      <c r="E102">
        <f t="shared" ca="1" si="20"/>
        <v>3423.0913168401967</v>
      </c>
    </row>
    <row r="103" spans="2:5" x14ac:dyDescent="0.2">
      <c r="B103" s="156">
        <f t="shared" si="21"/>
        <v>28</v>
      </c>
      <c r="C103">
        <f t="shared" ca="1" si="18"/>
        <v>15435.487321347664</v>
      </c>
      <c r="D103">
        <f t="shared" ca="1" si="19"/>
        <v>12496.279689688063</v>
      </c>
      <c r="E103">
        <f t="shared" ca="1" si="20"/>
        <v>2939.2076316596012</v>
      </c>
    </row>
    <row r="104" spans="2:5" x14ac:dyDescent="0.2">
      <c r="B104" s="156">
        <f t="shared" si="21"/>
        <v>29</v>
      </c>
      <c r="C104">
        <f t="shared" ca="1" si="18"/>
        <v>16053.867906433663</v>
      </c>
      <c r="D104">
        <f t="shared" ca="1" si="19"/>
        <v>11231.711509534305</v>
      </c>
      <c r="E104">
        <f t="shared" ca="1" si="20"/>
        <v>4822.1563968993578</v>
      </c>
    </row>
    <row r="105" spans="2:5" x14ac:dyDescent="0.2">
      <c r="B105" s="156">
        <f t="shared" si="21"/>
        <v>30</v>
      </c>
      <c r="C105">
        <f t="shared" ca="1" si="18"/>
        <v>14862.36727544383</v>
      </c>
      <c r="D105">
        <f t="shared" ca="1" si="19"/>
        <v>11840.417758445494</v>
      </c>
      <c r="E105">
        <f t="shared" ca="1" si="20"/>
        <v>3021.9495169983365</v>
      </c>
    </row>
    <row r="106" spans="2:5" x14ac:dyDescent="0.2">
      <c r="B106" s="156">
        <f t="shared" si="21"/>
        <v>31</v>
      </c>
      <c r="C106">
        <f t="shared" ca="1" si="18"/>
        <v>15088.429071929615</v>
      </c>
      <c r="D106">
        <f t="shared" ca="1" si="19"/>
        <v>12611.014120630693</v>
      </c>
      <c r="E106">
        <f t="shared" ca="1" si="20"/>
        <v>2477.4149512989225</v>
      </c>
    </row>
    <row r="107" spans="2:5" x14ac:dyDescent="0.2">
      <c r="B107" s="156">
        <f t="shared" si="21"/>
        <v>32</v>
      </c>
      <c r="C107">
        <f t="shared" ca="1" si="18"/>
        <v>14993.422750748794</v>
      </c>
      <c r="D107">
        <f t="shared" ca="1" si="19"/>
        <v>10332.256722495315</v>
      </c>
      <c r="E107">
        <f t="shared" ca="1" si="20"/>
        <v>4661.1660282534795</v>
      </c>
    </row>
    <row r="108" spans="2:5" x14ac:dyDescent="0.2">
      <c r="B108" s="156">
        <f t="shared" si="21"/>
        <v>33</v>
      </c>
      <c r="C108">
        <f t="shared" ca="1" si="18"/>
        <v>12367.723673033364</v>
      </c>
      <c r="D108">
        <f t="shared" ca="1" si="19"/>
        <v>11398.302195024371</v>
      </c>
      <c r="E108">
        <f t="shared" ca="1" si="20"/>
        <v>969.42147800899329</v>
      </c>
    </row>
    <row r="109" spans="2:5" x14ac:dyDescent="0.2">
      <c r="B109" s="156">
        <f t="shared" si="21"/>
        <v>34</v>
      </c>
      <c r="C109">
        <f t="shared" ca="1" si="18"/>
        <v>14607.881898104351</v>
      </c>
      <c r="D109">
        <f t="shared" ca="1" si="19"/>
        <v>11355.607905593377</v>
      </c>
      <c r="E109">
        <f t="shared" ca="1" si="20"/>
        <v>3252.2739925109745</v>
      </c>
    </row>
    <row r="110" spans="2:5" x14ac:dyDescent="0.2">
      <c r="B110" s="156">
        <f t="shared" si="21"/>
        <v>35</v>
      </c>
      <c r="C110">
        <f t="shared" ca="1" si="18"/>
        <v>15283.867614699691</v>
      </c>
      <c r="D110">
        <f t="shared" ca="1" si="19"/>
        <v>11770.804227414033</v>
      </c>
      <c r="E110">
        <f t="shared" ca="1" si="20"/>
        <v>3513.0633872856579</v>
      </c>
    </row>
    <row r="111" spans="2:5" x14ac:dyDescent="0.2">
      <c r="B111" s="156">
        <f t="shared" si="21"/>
        <v>36</v>
      </c>
      <c r="C111">
        <f t="shared" ca="1" si="18"/>
        <v>16821.598422623618</v>
      </c>
      <c r="D111">
        <f t="shared" ca="1" si="19"/>
        <v>11493.208680556194</v>
      </c>
      <c r="E111">
        <f t="shared" ca="1" si="20"/>
        <v>5328.3897420674239</v>
      </c>
    </row>
    <row r="112" spans="2:5" x14ac:dyDescent="0.2">
      <c r="B112" s="156">
        <f t="shared" si="21"/>
        <v>37</v>
      </c>
      <c r="C112">
        <f t="shared" ca="1" si="18"/>
        <v>12811.518606592663</v>
      </c>
      <c r="D112">
        <f t="shared" ca="1" si="19"/>
        <v>12414.515083442024</v>
      </c>
      <c r="E112">
        <f t="shared" ca="1" si="20"/>
        <v>397.00352315063901</v>
      </c>
    </row>
    <row r="113" spans="2:5" x14ac:dyDescent="0.2">
      <c r="B113" s="156">
        <f t="shared" si="21"/>
        <v>38</v>
      </c>
      <c r="C113">
        <f t="shared" ca="1" si="18"/>
        <v>18207.209056246073</v>
      </c>
      <c r="D113">
        <f t="shared" ca="1" si="19"/>
        <v>11492.225610471816</v>
      </c>
      <c r="E113">
        <f t="shared" ca="1" si="20"/>
        <v>6714.9834457742563</v>
      </c>
    </row>
    <row r="114" spans="2:5" x14ac:dyDescent="0.2">
      <c r="B114" s="156">
        <f t="shared" si="21"/>
        <v>39</v>
      </c>
      <c r="C114">
        <f t="shared" ca="1" si="18"/>
        <v>14450.18119345702</v>
      </c>
      <c r="D114">
        <f t="shared" ca="1" si="19"/>
        <v>11285.750977362435</v>
      </c>
      <c r="E114">
        <f t="shared" ca="1" si="20"/>
        <v>3164.4302160945845</v>
      </c>
    </row>
    <row r="115" spans="2:5" x14ac:dyDescent="0.2">
      <c r="B115" s="156">
        <f t="shared" si="21"/>
        <v>40</v>
      </c>
      <c r="C115">
        <f t="shared" ca="1" si="18"/>
        <v>13753.420033992472</v>
      </c>
      <c r="D115">
        <f t="shared" ca="1" si="19"/>
        <v>11999.966316042639</v>
      </c>
      <c r="E115">
        <f t="shared" ca="1" si="20"/>
        <v>1753.4537179498329</v>
      </c>
    </row>
    <row r="116" spans="2:5" x14ac:dyDescent="0.2">
      <c r="B116" s="156">
        <f t="shared" si="21"/>
        <v>41</v>
      </c>
      <c r="C116">
        <f t="shared" ca="1" si="18"/>
        <v>12916.761687983537</v>
      </c>
      <c r="D116">
        <f t="shared" ca="1" si="19"/>
        <v>12754.513368773241</v>
      </c>
      <c r="E116">
        <f t="shared" ca="1" si="20"/>
        <v>162.24831921029545</v>
      </c>
    </row>
    <row r="117" spans="2:5" x14ac:dyDescent="0.2">
      <c r="B117" s="156">
        <f t="shared" si="21"/>
        <v>42</v>
      </c>
      <c r="C117">
        <f t="shared" ca="1" si="18"/>
        <v>16340.171593632724</v>
      </c>
      <c r="D117">
        <f t="shared" ca="1" si="19"/>
        <v>14511.000401123489</v>
      </c>
      <c r="E117">
        <f t="shared" ca="1" si="20"/>
        <v>1829.171192509235</v>
      </c>
    </row>
    <row r="118" spans="2:5" x14ac:dyDescent="0.2">
      <c r="B118" s="156">
        <f t="shared" si="21"/>
        <v>43</v>
      </c>
      <c r="C118">
        <f t="shared" ca="1" si="18"/>
        <v>16057.369618373818</v>
      </c>
      <c r="D118">
        <f t="shared" ca="1" si="19"/>
        <v>12474.434044997217</v>
      </c>
      <c r="E118">
        <f t="shared" ca="1" si="20"/>
        <v>3582.9355733766006</v>
      </c>
    </row>
    <row r="119" spans="2:5" x14ac:dyDescent="0.2">
      <c r="B119" s="156">
        <f t="shared" si="21"/>
        <v>44</v>
      </c>
      <c r="C119">
        <f t="shared" ca="1" si="18"/>
        <v>15147.253698396227</v>
      </c>
      <c r="D119">
        <f t="shared" ca="1" si="19"/>
        <v>10312.797696488411</v>
      </c>
      <c r="E119">
        <f t="shared" ca="1" si="20"/>
        <v>4834.4560019078162</v>
      </c>
    </row>
    <row r="120" spans="2:5" x14ac:dyDescent="0.2">
      <c r="B120" s="156">
        <f t="shared" si="21"/>
        <v>45</v>
      </c>
      <c r="C120">
        <f t="shared" ca="1" si="18"/>
        <v>13475.643198766986</v>
      </c>
      <c r="D120">
        <f t="shared" ca="1" si="19"/>
        <v>12762.634053331727</v>
      </c>
      <c r="E120">
        <f t="shared" ca="1" si="20"/>
        <v>713.00914543525869</v>
      </c>
    </row>
    <row r="121" spans="2:5" x14ac:dyDescent="0.2">
      <c r="B121" s="156">
        <f t="shared" si="21"/>
        <v>46</v>
      </c>
      <c r="C121">
        <f t="shared" ca="1" si="18"/>
        <v>13621.120995463138</v>
      </c>
      <c r="D121">
        <f t="shared" ca="1" si="19"/>
        <v>13551.640244337352</v>
      </c>
      <c r="E121">
        <f t="shared" ca="1" si="20"/>
        <v>69.480751125785901</v>
      </c>
    </row>
    <row r="122" spans="2:5" x14ac:dyDescent="0.2">
      <c r="B122" s="156">
        <f t="shared" si="21"/>
        <v>47</v>
      </c>
      <c r="C122">
        <f t="shared" ca="1" si="18"/>
        <v>14034.639321925866</v>
      </c>
      <c r="D122">
        <f t="shared" ca="1" si="19"/>
        <v>11257.835259663892</v>
      </c>
      <c r="E122">
        <f t="shared" ca="1" si="20"/>
        <v>2776.8040622619737</v>
      </c>
    </row>
    <row r="123" spans="2:5" x14ac:dyDescent="0.2">
      <c r="B123" s="156">
        <f t="shared" si="21"/>
        <v>48</v>
      </c>
      <c r="C123">
        <f t="shared" ca="1" si="18"/>
        <v>14680.478456847171</v>
      </c>
      <c r="D123">
        <f t="shared" ca="1" si="19"/>
        <v>11998.038451101407</v>
      </c>
      <c r="E123">
        <f t="shared" ca="1" si="20"/>
        <v>2682.4400057457642</v>
      </c>
    </row>
    <row r="124" spans="2:5" x14ac:dyDescent="0.2">
      <c r="B124" s="156">
        <f t="shared" si="21"/>
        <v>49</v>
      </c>
      <c r="C124">
        <f t="shared" ca="1" si="18"/>
        <v>15585.219156499712</v>
      </c>
      <c r="D124">
        <f t="shared" ca="1" si="19"/>
        <v>11496.971909820772</v>
      </c>
      <c r="E124">
        <f t="shared" ca="1" si="20"/>
        <v>4088.2472466789404</v>
      </c>
    </row>
    <row r="125" spans="2:5" x14ac:dyDescent="0.2">
      <c r="B125" s="156">
        <f t="shared" si="21"/>
        <v>50</v>
      </c>
      <c r="C125">
        <f t="shared" ca="1" si="18"/>
        <v>12882.280340268484</v>
      </c>
      <c r="D125">
        <f t="shared" ca="1" si="19"/>
        <v>12359.884410194192</v>
      </c>
      <c r="E125">
        <f t="shared" ca="1" si="20"/>
        <v>522.39593007429175</v>
      </c>
    </row>
    <row r="126" spans="2:5" x14ac:dyDescent="0.2">
      <c r="B126" s="156">
        <f t="shared" si="21"/>
        <v>51</v>
      </c>
      <c r="C126">
        <f t="shared" ca="1" si="18"/>
        <v>14593.320272613269</v>
      </c>
      <c r="D126">
        <f t="shared" ca="1" si="19"/>
        <v>10623.624861023529</v>
      </c>
      <c r="E126">
        <f t="shared" ca="1" si="20"/>
        <v>3969.6954115897406</v>
      </c>
    </row>
    <row r="127" spans="2:5" x14ac:dyDescent="0.2">
      <c r="B127" s="156">
        <f t="shared" si="21"/>
        <v>52</v>
      </c>
      <c r="C127">
        <f t="shared" ca="1" si="18"/>
        <v>12978.10356499443</v>
      </c>
      <c r="D127">
        <f t="shared" ca="1" si="19"/>
        <v>10919.23049466769</v>
      </c>
      <c r="E127">
        <f t="shared" ca="1" si="20"/>
        <v>2058.8730703267393</v>
      </c>
    </row>
    <row r="128" spans="2:5" x14ac:dyDescent="0.2">
      <c r="B128" s="156">
        <f t="shared" si="21"/>
        <v>53</v>
      </c>
      <c r="C128">
        <f t="shared" ca="1" si="18"/>
        <v>16742.286457987928</v>
      </c>
      <c r="D128">
        <f t="shared" ca="1" si="19"/>
        <v>12174.640019706718</v>
      </c>
      <c r="E128">
        <f t="shared" ca="1" si="20"/>
        <v>4567.6464382812101</v>
      </c>
    </row>
    <row r="129" spans="2:5" x14ac:dyDescent="0.2">
      <c r="B129" s="156">
        <f t="shared" si="21"/>
        <v>54</v>
      </c>
      <c r="C129">
        <f t="shared" ca="1" si="18"/>
        <v>14194.218836998951</v>
      </c>
      <c r="D129">
        <f t="shared" ca="1" si="19"/>
        <v>12224.480434236168</v>
      </c>
      <c r="E129">
        <f t="shared" ca="1" si="20"/>
        <v>1969.7384027627832</v>
      </c>
    </row>
    <row r="130" spans="2:5" x14ac:dyDescent="0.2">
      <c r="B130" s="156">
        <f t="shared" si="21"/>
        <v>55</v>
      </c>
      <c r="C130">
        <f t="shared" ca="1" si="18"/>
        <v>15246.653371277811</v>
      </c>
      <c r="D130">
        <f t="shared" ca="1" si="19"/>
        <v>12448.136798774553</v>
      </c>
      <c r="E130">
        <f t="shared" ca="1" si="20"/>
        <v>2798.5165725032584</v>
      </c>
    </row>
    <row r="131" spans="2:5" x14ac:dyDescent="0.2">
      <c r="B131" s="156">
        <f t="shared" si="21"/>
        <v>56</v>
      </c>
      <c r="C131">
        <f t="shared" ca="1" si="18"/>
        <v>14688.107643384097</v>
      </c>
      <c r="D131">
        <f t="shared" ca="1" si="19"/>
        <v>12992.232344547652</v>
      </c>
      <c r="E131">
        <f t="shared" ca="1" si="20"/>
        <v>1695.8752988364449</v>
      </c>
    </row>
    <row r="132" spans="2:5" x14ac:dyDescent="0.2">
      <c r="B132" s="156">
        <f t="shared" si="21"/>
        <v>57</v>
      </c>
      <c r="C132">
        <f t="shared" ca="1" si="18"/>
        <v>13573.975670486281</v>
      </c>
      <c r="D132">
        <f t="shared" ca="1" si="19"/>
        <v>12815.650814500601</v>
      </c>
      <c r="E132">
        <f t="shared" ca="1" si="20"/>
        <v>758.32485598568019</v>
      </c>
    </row>
    <row r="133" spans="2:5" x14ac:dyDescent="0.2">
      <c r="B133" s="156">
        <f t="shared" si="21"/>
        <v>58</v>
      </c>
      <c r="C133">
        <f t="shared" ca="1" si="18"/>
        <v>12870.165843596416</v>
      </c>
      <c r="D133">
        <f t="shared" ca="1" si="19"/>
        <v>13266.181728572574</v>
      </c>
      <c r="E133">
        <f t="shared" ca="1" si="20"/>
        <v>-396.01588497615739</v>
      </c>
    </row>
    <row r="134" spans="2:5" x14ac:dyDescent="0.2">
      <c r="B134" s="156">
        <f t="shared" si="21"/>
        <v>59</v>
      </c>
      <c r="C134">
        <f t="shared" ca="1" si="18"/>
        <v>14364.264429174595</v>
      </c>
      <c r="D134">
        <f t="shared" ca="1" si="19"/>
        <v>11592.678506760052</v>
      </c>
      <c r="E134">
        <f t="shared" ca="1" si="20"/>
        <v>2771.5859224145424</v>
      </c>
    </row>
    <row r="135" spans="2:5" x14ac:dyDescent="0.2">
      <c r="B135" s="156">
        <f t="shared" si="21"/>
        <v>60</v>
      </c>
      <c r="C135">
        <f t="shared" ca="1" si="18"/>
        <v>12620.937436477321</v>
      </c>
      <c r="D135">
        <f t="shared" ca="1" si="19"/>
        <v>10610.487079531367</v>
      </c>
      <c r="E135">
        <f t="shared" ca="1" si="20"/>
        <v>2010.4503569459539</v>
      </c>
    </row>
    <row r="136" spans="2:5" x14ac:dyDescent="0.2">
      <c r="B136" s="156">
        <f t="shared" si="21"/>
        <v>61</v>
      </c>
      <c r="C136">
        <f t="shared" ca="1" si="18"/>
        <v>15086.274394084849</v>
      </c>
      <c r="D136">
        <f t="shared" ca="1" si="19"/>
        <v>14346.719287983244</v>
      </c>
      <c r="E136">
        <f t="shared" ca="1" si="20"/>
        <v>739.55510610160491</v>
      </c>
    </row>
    <row r="137" spans="2:5" x14ac:dyDescent="0.2">
      <c r="B137" s="156">
        <f t="shared" si="21"/>
        <v>62</v>
      </c>
      <c r="C137">
        <f t="shared" ca="1" si="18"/>
        <v>15303.231583426077</v>
      </c>
      <c r="D137">
        <f t="shared" ca="1" si="19"/>
        <v>12606.211079866995</v>
      </c>
      <c r="E137">
        <f t="shared" ca="1" si="20"/>
        <v>2697.0205035590825</v>
      </c>
    </row>
    <row r="138" spans="2:5" x14ac:dyDescent="0.2">
      <c r="B138" s="156">
        <f t="shared" si="21"/>
        <v>63</v>
      </c>
      <c r="C138">
        <f t="shared" ca="1" si="18"/>
        <v>16364.741972820126</v>
      </c>
      <c r="D138">
        <f t="shared" ca="1" si="19"/>
        <v>9327.9906043443079</v>
      </c>
      <c r="E138">
        <f t="shared" ca="1" si="20"/>
        <v>7036.7513684758178</v>
      </c>
    </row>
    <row r="139" spans="2:5" x14ac:dyDescent="0.2">
      <c r="B139" s="156">
        <f t="shared" si="21"/>
        <v>64</v>
      </c>
      <c r="C139">
        <f t="shared" ca="1" si="18"/>
        <v>15557.535612903925</v>
      </c>
      <c r="D139">
        <f t="shared" ca="1" si="19"/>
        <v>12772.965284998147</v>
      </c>
      <c r="E139">
        <f t="shared" ca="1" si="20"/>
        <v>2784.570327905778</v>
      </c>
    </row>
    <row r="140" spans="2:5" x14ac:dyDescent="0.2">
      <c r="B140" s="156">
        <f t="shared" si="21"/>
        <v>65</v>
      </c>
      <c r="C140">
        <f t="shared" ca="1" si="18"/>
        <v>15588.824279873274</v>
      </c>
      <c r="D140">
        <f t="shared" ca="1" si="19"/>
        <v>11784.260890948237</v>
      </c>
      <c r="E140">
        <f t="shared" ca="1" si="20"/>
        <v>3804.5633889250366</v>
      </c>
    </row>
    <row r="141" spans="2:5" x14ac:dyDescent="0.2">
      <c r="B141" s="156">
        <f t="shared" si="21"/>
        <v>66</v>
      </c>
      <c r="C141">
        <f t="shared" ref="C141:C204" ca="1" si="22">$C$70*(1+_xlfn.NORM.S.INV(RAND())*$C$72)</f>
        <v>12718.797815221003</v>
      </c>
      <c r="D141">
        <f t="shared" ref="D141:D204" ca="1" si="23">$C$71*(1+_xlfn.NORM.S.INV(RAND())*$C$73)</f>
        <v>11036.643157234877</v>
      </c>
      <c r="E141">
        <f t="shared" ref="E141:E204" ca="1" si="24">C141-D141</f>
        <v>1682.154657986126</v>
      </c>
    </row>
    <row r="142" spans="2:5" x14ac:dyDescent="0.2">
      <c r="B142" s="156">
        <f t="shared" ref="B142:B205" si="25">B141+1</f>
        <v>67</v>
      </c>
      <c r="C142">
        <f t="shared" ca="1" si="22"/>
        <v>14712.857601382726</v>
      </c>
      <c r="D142">
        <f t="shared" ca="1" si="23"/>
        <v>12629.870551500426</v>
      </c>
      <c r="E142">
        <f t="shared" ca="1" si="24"/>
        <v>2082.9870498823002</v>
      </c>
    </row>
    <row r="143" spans="2:5" x14ac:dyDescent="0.2">
      <c r="B143" s="156">
        <f t="shared" si="25"/>
        <v>68</v>
      </c>
      <c r="C143">
        <f t="shared" ca="1" si="22"/>
        <v>15734.570062685771</v>
      </c>
      <c r="D143">
        <f t="shared" ca="1" si="23"/>
        <v>12192.882881320134</v>
      </c>
      <c r="E143">
        <f t="shared" ca="1" si="24"/>
        <v>3541.6871813656362</v>
      </c>
    </row>
    <row r="144" spans="2:5" x14ac:dyDescent="0.2">
      <c r="B144" s="156">
        <f t="shared" si="25"/>
        <v>69</v>
      </c>
      <c r="C144">
        <f t="shared" ca="1" si="22"/>
        <v>13881.986895962978</v>
      </c>
      <c r="D144">
        <f t="shared" ca="1" si="23"/>
        <v>10698.787100217603</v>
      </c>
      <c r="E144">
        <f t="shared" ca="1" si="24"/>
        <v>3183.199795745375</v>
      </c>
    </row>
    <row r="145" spans="2:5" x14ac:dyDescent="0.2">
      <c r="B145" s="156">
        <f t="shared" si="25"/>
        <v>70</v>
      </c>
      <c r="C145">
        <f t="shared" ca="1" si="22"/>
        <v>15549.792726728687</v>
      </c>
      <c r="D145">
        <f t="shared" ca="1" si="23"/>
        <v>10490.169703841511</v>
      </c>
      <c r="E145">
        <f t="shared" ca="1" si="24"/>
        <v>5059.6230228871755</v>
      </c>
    </row>
    <row r="146" spans="2:5" x14ac:dyDescent="0.2">
      <c r="B146" s="156">
        <f t="shared" si="25"/>
        <v>71</v>
      </c>
      <c r="C146">
        <f t="shared" ca="1" si="22"/>
        <v>15552.341772401922</v>
      </c>
      <c r="D146">
        <f t="shared" ca="1" si="23"/>
        <v>11374.924954257345</v>
      </c>
      <c r="E146">
        <f t="shared" ca="1" si="24"/>
        <v>4177.4168181445766</v>
      </c>
    </row>
    <row r="147" spans="2:5" x14ac:dyDescent="0.2">
      <c r="B147" s="156">
        <f t="shared" si="25"/>
        <v>72</v>
      </c>
      <c r="C147">
        <f t="shared" ca="1" si="22"/>
        <v>15112.788792631456</v>
      </c>
      <c r="D147">
        <f t="shared" ca="1" si="23"/>
        <v>12647.876234643561</v>
      </c>
      <c r="E147">
        <f t="shared" ca="1" si="24"/>
        <v>2464.9125579878946</v>
      </c>
    </row>
    <row r="148" spans="2:5" x14ac:dyDescent="0.2">
      <c r="B148" s="156">
        <f t="shared" si="25"/>
        <v>73</v>
      </c>
      <c r="C148">
        <f t="shared" ca="1" si="22"/>
        <v>16133.454027612128</v>
      </c>
      <c r="D148">
        <f t="shared" ca="1" si="23"/>
        <v>10594.909445666788</v>
      </c>
      <c r="E148">
        <f t="shared" ca="1" si="24"/>
        <v>5538.5445819453398</v>
      </c>
    </row>
    <row r="149" spans="2:5" x14ac:dyDescent="0.2">
      <c r="B149" s="156">
        <f t="shared" si="25"/>
        <v>74</v>
      </c>
      <c r="C149">
        <f t="shared" ca="1" si="22"/>
        <v>15266.911376418408</v>
      </c>
      <c r="D149">
        <f t="shared" ca="1" si="23"/>
        <v>11934.755897126146</v>
      </c>
      <c r="E149">
        <f t="shared" ca="1" si="24"/>
        <v>3332.1554792922616</v>
      </c>
    </row>
    <row r="150" spans="2:5" x14ac:dyDescent="0.2">
      <c r="B150" s="156">
        <f t="shared" si="25"/>
        <v>75</v>
      </c>
      <c r="C150">
        <f t="shared" ca="1" si="22"/>
        <v>15101.882806826505</v>
      </c>
      <c r="D150">
        <f t="shared" ca="1" si="23"/>
        <v>9621.1925808169344</v>
      </c>
      <c r="E150">
        <f t="shared" ca="1" si="24"/>
        <v>5480.6902260095703</v>
      </c>
    </row>
    <row r="151" spans="2:5" x14ac:dyDescent="0.2">
      <c r="B151" s="156">
        <f t="shared" si="25"/>
        <v>76</v>
      </c>
      <c r="C151">
        <f t="shared" ca="1" si="22"/>
        <v>15222.388791631529</v>
      </c>
      <c r="D151">
        <f t="shared" ca="1" si="23"/>
        <v>12242.920647444158</v>
      </c>
      <c r="E151">
        <f t="shared" ca="1" si="24"/>
        <v>2979.4681441873709</v>
      </c>
    </row>
    <row r="152" spans="2:5" x14ac:dyDescent="0.2">
      <c r="B152" s="156">
        <f t="shared" si="25"/>
        <v>77</v>
      </c>
      <c r="C152">
        <f t="shared" ca="1" si="22"/>
        <v>12712.493807587425</v>
      </c>
      <c r="D152">
        <f t="shared" ca="1" si="23"/>
        <v>13625.814969373763</v>
      </c>
      <c r="E152">
        <f t="shared" ca="1" si="24"/>
        <v>-913.32116178633805</v>
      </c>
    </row>
    <row r="153" spans="2:5" x14ac:dyDescent="0.2">
      <c r="B153" s="156">
        <f t="shared" si="25"/>
        <v>78</v>
      </c>
      <c r="C153">
        <f t="shared" ca="1" si="22"/>
        <v>15419.621861520296</v>
      </c>
      <c r="D153">
        <f t="shared" ca="1" si="23"/>
        <v>10804.373516228359</v>
      </c>
      <c r="E153">
        <f t="shared" ca="1" si="24"/>
        <v>4615.2483452919369</v>
      </c>
    </row>
    <row r="154" spans="2:5" x14ac:dyDescent="0.2">
      <c r="B154" s="156">
        <f t="shared" si="25"/>
        <v>79</v>
      </c>
      <c r="C154">
        <f t="shared" ca="1" si="22"/>
        <v>14644.904036647669</v>
      </c>
      <c r="D154">
        <f t="shared" ca="1" si="23"/>
        <v>10153.972172323933</v>
      </c>
      <c r="E154">
        <f t="shared" ca="1" si="24"/>
        <v>4490.9318643237366</v>
      </c>
    </row>
    <row r="155" spans="2:5" x14ac:dyDescent="0.2">
      <c r="B155" s="156">
        <f t="shared" si="25"/>
        <v>80</v>
      </c>
      <c r="C155">
        <f t="shared" ca="1" si="22"/>
        <v>12679.512025861994</v>
      </c>
      <c r="D155">
        <f t="shared" ca="1" si="23"/>
        <v>11145.062424737245</v>
      </c>
      <c r="E155">
        <f t="shared" ca="1" si="24"/>
        <v>1534.4496011247484</v>
      </c>
    </row>
    <row r="156" spans="2:5" x14ac:dyDescent="0.2">
      <c r="B156" s="156">
        <f t="shared" si="25"/>
        <v>81</v>
      </c>
      <c r="C156">
        <f t="shared" ca="1" si="22"/>
        <v>13807.706002970119</v>
      </c>
      <c r="D156">
        <f t="shared" ca="1" si="23"/>
        <v>13195.348369243544</v>
      </c>
      <c r="E156">
        <f t="shared" ca="1" si="24"/>
        <v>612.35763372657493</v>
      </c>
    </row>
    <row r="157" spans="2:5" x14ac:dyDescent="0.2">
      <c r="B157" s="156">
        <f t="shared" si="25"/>
        <v>82</v>
      </c>
      <c r="C157">
        <f t="shared" ca="1" si="22"/>
        <v>14330.794536054034</v>
      </c>
      <c r="D157">
        <f t="shared" ca="1" si="23"/>
        <v>11980.765540759001</v>
      </c>
      <c r="E157">
        <f t="shared" ca="1" si="24"/>
        <v>2350.0289952950334</v>
      </c>
    </row>
    <row r="158" spans="2:5" x14ac:dyDescent="0.2">
      <c r="B158" s="156">
        <f t="shared" si="25"/>
        <v>83</v>
      </c>
      <c r="C158">
        <f t="shared" ca="1" si="22"/>
        <v>14690.921233256598</v>
      </c>
      <c r="D158">
        <f t="shared" ca="1" si="23"/>
        <v>13228.711669122516</v>
      </c>
      <c r="E158">
        <f t="shared" ca="1" si="24"/>
        <v>1462.209564134082</v>
      </c>
    </row>
    <row r="159" spans="2:5" x14ac:dyDescent="0.2">
      <c r="B159" s="156">
        <f t="shared" si="25"/>
        <v>84</v>
      </c>
      <c r="C159">
        <f t="shared" ca="1" si="22"/>
        <v>13972.900746962208</v>
      </c>
      <c r="D159">
        <f t="shared" ca="1" si="23"/>
        <v>11445.613255132597</v>
      </c>
      <c r="E159">
        <f t="shared" ca="1" si="24"/>
        <v>2527.2874918296111</v>
      </c>
    </row>
    <row r="160" spans="2:5" x14ac:dyDescent="0.2">
      <c r="B160" s="156">
        <f t="shared" si="25"/>
        <v>85</v>
      </c>
      <c r="C160">
        <f t="shared" ca="1" si="22"/>
        <v>15116.84281506021</v>
      </c>
      <c r="D160">
        <f t="shared" ca="1" si="23"/>
        <v>13922.885874716174</v>
      </c>
      <c r="E160">
        <f t="shared" ca="1" si="24"/>
        <v>1193.9569403440364</v>
      </c>
    </row>
    <row r="161" spans="2:5" x14ac:dyDescent="0.2">
      <c r="B161" s="156">
        <f t="shared" si="25"/>
        <v>86</v>
      </c>
      <c r="C161">
        <f t="shared" ca="1" si="22"/>
        <v>14403.135489349901</v>
      </c>
      <c r="D161">
        <f t="shared" ca="1" si="23"/>
        <v>12586.112708268223</v>
      </c>
      <c r="E161">
        <f t="shared" ca="1" si="24"/>
        <v>1817.0227810816777</v>
      </c>
    </row>
    <row r="162" spans="2:5" x14ac:dyDescent="0.2">
      <c r="B162" s="156">
        <f t="shared" si="25"/>
        <v>87</v>
      </c>
      <c r="C162">
        <f t="shared" ca="1" si="22"/>
        <v>14487.729409042591</v>
      </c>
      <c r="D162">
        <f t="shared" ca="1" si="23"/>
        <v>12057.672341500594</v>
      </c>
      <c r="E162">
        <f t="shared" ca="1" si="24"/>
        <v>2430.0570675419967</v>
      </c>
    </row>
    <row r="163" spans="2:5" x14ac:dyDescent="0.2">
      <c r="B163" s="156">
        <f t="shared" si="25"/>
        <v>88</v>
      </c>
      <c r="C163">
        <f t="shared" ca="1" si="22"/>
        <v>13736.600642804913</v>
      </c>
      <c r="D163">
        <f t="shared" ca="1" si="23"/>
        <v>11429.821607135167</v>
      </c>
      <c r="E163">
        <f t="shared" ca="1" si="24"/>
        <v>2306.779035669746</v>
      </c>
    </row>
    <row r="164" spans="2:5" x14ac:dyDescent="0.2">
      <c r="B164" s="156">
        <f t="shared" si="25"/>
        <v>89</v>
      </c>
      <c r="C164">
        <f t="shared" ca="1" si="22"/>
        <v>13872.473500900054</v>
      </c>
      <c r="D164">
        <f t="shared" ca="1" si="23"/>
        <v>13101.669534094139</v>
      </c>
      <c r="E164">
        <f t="shared" ca="1" si="24"/>
        <v>770.80396680591548</v>
      </c>
    </row>
    <row r="165" spans="2:5" x14ac:dyDescent="0.2">
      <c r="B165" s="156">
        <f t="shared" si="25"/>
        <v>90</v>
      </c>
      <c r="C165">
        <f t="shared" ca="1" si="22"/>
        <v>15213.582901537784</v>
      </c>
      <c r="D165">
        <f t="shared" ca="1" si="23"/>
        <v>9788.396566036372</v>
      </c>
      <c r="E165">
        <f t="shared" ca="1" si="24"/>
        <v>5425.186335501412</v>
      </c>
    </row>
    <row r="166" spans="2:5" x14ac:dyDescent="0.2">
      <c r="B166" s="156">
        <f t="shared" si="25"/>
        <v>91</v>
      </c>
      <c r="C166">
        <f t="shared" ca="1" si="22"/>
        <v>15020.923285762941</v>
      </c>
      <c r="D166">
        <f t="shared" ca="1" si="23"/>
        <v>13052.023102018276</v>
      </c>
      <c r="E166">
        <f t="shared" ca="1" si="24"/>
        <v>1968.9001837446649</v>
      </c>
    </row>
    <row r="167" spans="2:5" x14ac:dyDescent="0.2">
      <c r="B167" s="156">
        <f t="shared" si="25"/>
        <v>92</v>
      </c>
      <c r="C167">
        <f t="shared" ca="1" si="22"/>
        <v>13033.691868639324</v>
      </c>
      <c r="D167">
        <f t="shared" ca="1" si="23"/>
        <v>11971.415328801941</v>
      </c>
      <c r="E167">
        <f t="shared" ca="1" si="24"/>
        <v>1062.2765398373831</v>
      </c>
    </row>
    <row r="168" spans="2:5" x14ac:dyDescent="0.2">
      <c r="B168" s="156">
        <f t="shared" si="25"/>
        <v>93</v>
      </c>
      <c r="C168">
        <f t="shared" ca="1" si="22"/>
        <v>12518.555485193176</v>
      </c>
      <c r="D168">
        <f t="shared" ca="1" si="23"/>
        <v>11665.912909003437</v>
      </c>
      <c r="E168">
        <f t="shared" ca="1" si="24"/>
        <v>852.64257618973897</v>
      </c>
    </row>
    <row r="169" spans="2:5" x14ac:dyDescent="0.2">
      <c r="B169" s="156">
        <f t="shared" si="25"/>
        <v>94</v>
      </c>
      <c r="C169">
        <f t="shared" ca="1" si="22"/>
        <v>17173.203206135084</v>
      </c>
      <c r="D169">
        <f t="shared" ca="1" si="23"/>
        <v>12629.735601089835</v>
      </c>
      <c r="E169">
        <f t="shared" ca="1" si="24"/>
        <v>4543.467605045249</v>
      </c>
    </row>
    <row r="170" spans="2:5" x14ac:dyDescent="0.2">
      <c r="B170" s="156">
        <f t="shared" si="25"/>
        <v>95</v>
      </c>
      <c r="C170">
        <f t="shared" ca="1" si="22"/>
        <v>16075.82792559343</v>
      </c>
      <c r="D170">
        <f t="shared" ca="1" si="23"/>
        <v>12534.381336434295</v>
      </c>
      <c r="E170">
        <f t="shared" ca="1" si="24"/>
        <v>3541.4465891591353</v>
      </c>
    </row>
    <row r="171" spans="2:5" x14ac:dyDescent="0.2">
      <c r="B171" s="156">
        <f t="shared" si="25"/>
        <v>96</v>
      </c>
      <c r="C171">
        <f t="shared" ca="1" si="22"/>
        <v>14629.481190970475</v>
      </c>
      <c r="D171">
        <f t="shared" ca="1" si="23"/>
        <v>11433.640039692596</v>
      </c>
      <c r="E171">
        <f t="shared" ca="1" si="24"/>
        <v>3195.8411512778785</v>
      </c>
    </row>
    <row r="172" spans="2:5" x14ac:dyDescent="0.2">
      <c r="B172" s="156">
        <f t="shared" si="25"/>
        <v>97</v>
      </c>
      <c r="C172">
        <f t="shared" ca="1" si="22"/>
        <v>15411.502819559362</v>
      </c>
      <c r="D172">
        <f t="shared" ca="1" si="23"/>
        <v>10052.645452745188</v>
      </c>
      <c r="E172">
        <f t="shared" ca="1" si="24"/>
        <v>5358.8573668141744</v>
      </c>
    </row>
    <row r="173" spans="2:5" x14ac:dyDescent="0.2">
      <c r="B173" s="156">
        <f t="shared" si="25"/>
        <v>98</v>
      </c>
      <c r="C173">
        <f t="shared" ca="1" si="22"/>
        <v>15305.918347240065</v>
      </c>
      <c r="D173">
        <f t="shared" ca="1" si="23"/>
        <v>10772.831193370354</v>
      </c>
      <c r="E173">
        <f t="shared" ca="1" si="24"/>
        <v>4533.087153869712</v>
      </c>
    </row>
    <row r="174" spans="2:5" x14ac:dyDescent="0.2">
      <c r="B174" s="156">
        <f t="shared" si="25"/>
        <v>99</v>
      </c>
      <c r="C174">
        <f t="shared" ca="1" si="22"/>
        <v>14628.107954943504</v>
      </c>
      <c r="D174">
        <f t="shared" ca="1" si="23"/>
        <v>12620.366434749918</v>
      </c>
      <c r="E174">
        <f t="shared" ca="1" si="24"/>
        <v>2007.7415201935855</v>
      </c>
    </row>
    <row r="175" spans="2:5" x14ac:dyDescent="0.2">
      <c r="B175" s="156">
        <f t="shared" si="25"/>
        <v>100</v>
      </c>
      <c r="C175">
        <f t="shared" ca="1" si="22"/>
        <v>14106.461747370538</v>
      </c>
      <c r="D175">
        <f t="shared" ca="1" si="23"/>
        <v>10372.509111037736</v>
      </c>
      <c r="E175">
        <f t="shared" ca="1" si="24"/>
        <v>3733.9526363328023</v>
      </c>
    </row>
    <row r="176" spans="2:5" x14ac:dyDescent="0.2">
      <c r="B176" s="156">
        <f t="shared" si="25"/>
        <v>101</v>
      </c>
      <c r="C176">
        <f t="shared" ca="1" si="22"/>
        <v>13906.266195656246</v>
      </c>
      <c r="D176">
        <f t="shared" ca="1" si="23"/>
        <v>11085.313961981139</v>
      </c>
      <c r="E176">
        <f t="shared" ca="1" si="24"/>
        <v>2820.952233675107</v>
      </c>
    </row>
    <row r="177" spans="2:5" x14ac:dyDescent="0.2">
      <c r="B177" s="156">
        <f t="shared" si="25"/>
        <v>102</v>
      </c>
      <c r="C177">
        <f t="shared" ca="1" si="22"/>
        <v>14018.65974427324</v>
      </c>
      <c r="D177">
        <f t="shared" ca="1" si="23"/>
        <v>13084.48937611015</v>
      </c>
      <c r="E177">
        <f t="shared" ca="1" si="24"/>
        <v>934.17036816308973</v>
      </c>
    </row>
    <row r="178" spans="2:5" x14ac:dyDescent="0.2">
      <c r="B178" s="156">
        <f t="shared" si="25"/>
        <v>103</v>
      </c>
      <c r="C178">
        <f t="shared" ca="1" si="22"/>
        <v>14493.038152193742</v>
      </c>
      <c r="D178">
        <f t="shared" ca="1" si="23"/>
        <v>13080.043917598921</v>
      </c>
      <c r="E178">
        <f t="shared" ca="1" si="24"/>
        <v>1412.9942345948202</v>
      </c>
    </row>
    <row r="179" spans="2:5" x14ac:dyDescent="0.2">
      <c r="B179" s="156">
        <f t="shared" si="25"/>
        <v>104</v>
      </c>
      <c r="C179">
        <f t="shared" ca="1" si="22"/>
        <v>15099.391428081854</v>
      </c>
      <c r="D179">
        <f t="shared" ca="1" si="23"/>
        <v>10955.465980798321</v>
      </c>
      <c r="E179">
        <f t="shared" ca="1" si="24"/>
        <v>4143.9254472835328</v>
      </c>
    </row>
    <row r="180" spans="2:5" x14ac:dyDescent="0.2">
      <c r="B180" s="156">
        <f t="shared" si="25"/>
        <v>105</v>
      </c>
      <c r="C180">
        <f t="shared" ca="1" si="22"/>
        <v>12887.853235242952</v>
      </c>
      <c r="D180">
        <f t="shared" ca="1" si="23"/>
        <v>12771.672291450899</v>
      </c>
      <c r="E180">
        <f t="shared" ca="1" si="24"/>
        <v>116.18094379205286</v>
      </c>
    </row>
    <row r="181" spans="2:5" x14ac:dyDescent="0.2">
      <c r="B181" s="156">
        <f t="shared" si="25"/>
        <v>106</v>
      </c>
      <c r="C181">
        <f t="shared" ca="1" si="22"/>
        <v>11688.312127935</v>
      </c>
      <c r="D181">
        <f t="shared" ca="1" si="23"/>
        <v>11123.68610580892</v>
      </c>
      <c r="E181">
        <f t="shared" ca="1" si="24"/>
        <v>564.62602212607999</v>
      </c>
    </row>
    <row r="182" spans="2:5" x14ac:dyDescent="0.2">
      <c r="B182" s="156">
        <f t="shared" si="25"/>
        <v>107</v>
      </c>
      <c r="C182">
        <f t="shared" ca="1" si="22"/>
        <v>11505.989419051799</v>
      </c>
      <c r="D182">
        <f t="shared" ca="1" si="23"/>
        <v>13704.42937462663</v>
      </c>
      <c r="E182">
        <f t="shared" ca="1" si="24"/>
        <v>-2198.4399555748314</v>
      </c>
    </row>
    <row r="183" spans="2:5" x14ac:dyDescent="0.2">
      <c r="B183" s="156">
        <f t="shared" si="25"/>
        <v>108</v>
      </c>
      <c r="C183">
        <f t="shared" ca="1" si="22"/>
        <v>15524.507704252783</v>
      </c>
      <c r="D183">
        <f t="shared" ca="1" si="23"/>
        <v>13854.807981253472</v>
      </c>
      <c r="E183">
        <f t="shared" ca="1" si="24"/>
        <v>1669.6997229993103</v>
      </c>
    </row>
    <row r="184" spans="2:5" x14ac:dyDescent="0.2">
      <c r="B184" s="156">
        <f t="shared" si="25"/>
        <v>109</v>
      </c>
      <c r="C184">
        <f t="shared" ca="1" si="22"/>
        <v>14300.413863181717</v>
      </c>
      <c r="D184">
        <f t="shared" ca="1" si="23"/>
        <v>11684.418883446038</v>
      </c>
      <c r="E184">
        <f t="shared" ca="1" si="24"/>
        <v>2615.9949797356785</v>
      </c>
    </row>
    <row r="185" spans="2:5" x14ac:dyDescent="0.2">
      <c r="B185" s="156">
        <f t="shared" si="25"/>
        <v>110</v>
      </c>
      <c r="C185">
        <f t="shared" ca="1" si="22"/>
        <v>13585.285915479586</v>
      </c>
      <c r="D185">
        <f t="shared" ca="1" si="23"/>
        <v>11221.907596865669</v>
      </c>
      <c r="E185">
        <f t="shared" ca="1" si="24"/>
        <v>2363.3783186139171</v>
      </c>
    </row>
    <row r="186" spans="2:5" x14ac:dyDescent="0.2">
      <c r="B186" s="156">
        <f t="shared" si="25"/>
        <v>111</v>
      </c>
      <c r="C186">
        <f t="shared" ca="1" si="22"/>
        <v>11623.588786906776</v>
      </c>
      <c r="D186">
        <f t="shared" ca="1" si="23"/>
        <v>15051.345933577384</v>
      </c>
      <c r="E186">
        <f t="shared" ca="1" si="24"/>
        <v>-3427.7571466706086</v>
      </c>
    </row>
    <row r="187" spans="2:5" x14ac:dyDescent="0.2">
      <c r="B187" s="156">
        <f t="shared" si="25"/>
        <v>112</v>
      </c>
      <c r="C187">
        <f t="shared" ca="1" si="22"/>
        <v>14184.567944463273</v>
      </c>
      <c r="D187">
        <f t="shared" ca="1" si="23"/>
        <v>11876.860926586896</v>
      </c>
      <c r="E187">
        <f t="shared" ca="1" si="24"/>
        <v>2307.707017876377</v>
      </c>
    </row>
    <row r="188" spans="2:5" x14ac:dyDescent="0.2">
      <c r="B188" s="156">
        <f t="shared" si="25"/>
        <v>113</v>
      </c>
      <c r="C188">
        <f t="shared" ca="1" si="22"/>
        <v>14519.393248918739</v>
      </c>
      <c r="D188">
        <f t="shared" ca="1" si="23"/>
        <v>9968.8129014472197</v>
      </c>
      <c r="E188">
        <f t="shared" ca="1" si="24"/>
        <v>4550.5803474715194</v>
      </c>
    </row>
    <row r="189" spans="2:5" x14ac:dyDescent="0.2">
      <c r="B189" s="156">
        <f t="shared" si="25"/>
        <v>114</v>
      </c>
      <c r="C189">
        <f t="shared" ca="1" si="22"/>
        <v>16907.854737471869</v>
      </c>
      <c r="D189">
        <f t="shared" ca="1" si="23"/>
        <v>12808.969241788183</v>
      </c>
      <c r="E189">
        <f t="shared" ca="1" si="24"/>
        <v>4098.8854956836858</v>
      </c>
    </row>
    <row r="190" spans="2:5" x14ac:dyDescent="0.2">
      <c r="B190" s="156">
        <f t="shared" si="25"/>
        <v>115</v>
      </c>
      <c r="C190">
        <f t="shared" ca="1" si="22"/>
        <v>14153.726159688833</v>
      </c>
      <c r="D190">
        <f t="shared" ca="1" si="23"/>
        <v>12189.205852438383</v>
      </c>
      <c r="E190">
        <f t="shared" ca="1" si="24"/>
        <v>1964.5203072504501</v>
      </c>
    </row>
    <row r="191" spans="2:5" x14ac:dyDescent="0.2">
      <c r="B191" s="156">
        <f t="shared" si="25"/>
        <v>116</v>
      </c>
      <c r="C191">
        <f t="shared" ca="1" si="22"/>
        <v>15643.879233840586</v>
      </c>
      <c r="D191">
        <f t="shared" ca="1" si="23"/>
        <v>9721.2920382596494</v>
      </c>
      <c r="E191">
        <f t="shared" ca="1" si="24"/>
        <v>5922.5871955809362</v>
      </c>
    </row>
    <row r="192" spans="2:5" x14ac:dyDescent="0.2">
      <c r="B192" s="156">
        <f t="shared" si="25"/>
        <v>117</v>
      </c>
      <c r="C192">
        <f t="shared" ca="1" si="22"/>
        <v>14475.811624522639</v>
      </c>
      <c r="D192">
        <f t="shared" ca="1" si="23"/>
        <v>13230.869500188654</v>
      </c>
      <c r="E192">
        <f t="shared" ca="1" si="24"/>
        <v>1244.9421243339857</v>
      </c>
    </row>
    <row r="193" spans="2:5" x14ac:dyDescent="0.2">
      <c r="B193" s="156">
        <f t="shared" si="25"/>
        <v>118</v>
      </c>
      <c r="C193">
        <f t="shared" ca="1" si="22"/>
        <v>16915.261809806176</v>
      </c>
      <c r="D193">
        <f t="shared" ca="1" si="23"/>
        <v>12844.939286576287</v>
      </c>
      <c r="E193">
        <f t="shared" ca="1" si="24"/>
        <v>4070.3225232298882</v>
      </c>
    </row>
    <row r="194" spans="2:5" x14ac:dyDescent="0.2">
      <c r="B194" s="156">
        <f t="shared" si="25"/>
        <v>119</v>
      </c>
      <c r="C194">
        <f t="shared" ca="1" si="22"/>
        <v>16013.788477910823</v>
      </c>
      <c r="D194">
        <f t="shared" ca="1" si="23"/>
        <v>10695.791531337658</v>
      </c>
      <c r="E194">
        <f t="shared" ca="1" si="24"/>
        <v>5317.9969465731647</v>
      </c>
    </row>
    <row r="195" spans="2:5" x14ac:dyDescent="0.2">
      <c r="B195" s="156">
        <f t="shared" si="25"/>
        <v>120</v>
      </c>
      <c r="C195">
        <f t="shared" ca="1" si="22"/>
        <v>15729.587023990493</v>
      </c>
      <c r="D195">
        <f t="shared" ca="1" si="23"/>
        <v>12317.414132094173</v>
      </c>
      <c r="E195">
        <f t="shared" ca="1" si="24"/>
        <v>3412.1728918963199</v>
      </c>
    </row>
    <row r="196" spans="2:5" x14ac:dyDescent="0.2">
      <c r="B196" s="156">
        <f t="shared" si="25"/>
        <v>121</v>
      </c>
      <c r="C196">
        <f t="shared" ca="1" si="22"/>
        <v>11591.065454418798</v>
      </c>
      <c r="D196">
        <f t="shared" ca="1" si="23"/>
        <v>11406.716700088551</v>
      </c>
      <c r="E196">
        <f t="shared" ca="1" si="24"/>
        <v>184.34875433024717</v>
      </c>
    </row>
    <row r="197" spans="2:5" x14ac:dyDescent="0.2">
      <c r="B197" s="156">
        <f t="shared" si="25"/>
        <v>122</v>
      </c>
      <c r="C197">
        <f t="shared" ca="1" si="22"/>
        <v>15232.378352598678</v>
      </c>
      <c r="D197">
        <f t="shared" ca="1" si="23"/>
        <v>9764.2193213174323</v>
      </c>
      <c r="E197">
        <f t="shared" ca="1" si="24"/>
        <v>5468.1590312812459</v>
      </c>
    </row>
    <row r="198" spans="2:5" x14ac:dyDescent="0.2">
      <c r="B198" s="156">
        <f t="shared" si="25"/>
        <v>123</v>
      </c>
      <c r="C198">
        <f t="shared" ca="1" si="22"/>
        <v>16818.411981603673</v>
      </c>
      <c r="D198">
        <f t="shared" ca="1" si="23"/>
        <v>11488.245503565762</v>
      </c>
      <c r="E198">
        <f t="shared" ca="1" si="24"/>
        <v>5330.1664780379106</v>
      </c>
    </row>
    <row r="199" spans="2:5" x14ac:dyDescent="0.2">
      <c r="B199" s="156">
        <f t="shared" si="25"/>
        <v>124</v>
      </c>
      <c r="C199">
        <f t="shared" ca="1" si="22"/>
        <v>14018.795539944233</v>
      </c>
      <c r="D199">
        <f t="shared" ca="1" si="23"/>
        <v>11952.643845139328</v>
      </c>
      <c r="E199">
        <f t="shared" ca="1" si="24"/>
        <v>2066.1516948049048</v>
      </c>
    </row>
    <row r="200" spans="2:5" x14ac:dyDescent="0.2">
      <c r="B200" s="156">
        <f t="shared" si="25"/>
        <v>125</v>
      </c>
      <c r="C200">
        <f t="shared" ca="1" si="22"/>
        <v>12315.378332408534</v>
      </c>
      <c r="D200">
        <f t="shared" ca="1" si="23"/>
        <v>13220.873135232181</v>
      </c>
      <c r="E200">
        <f t="shared" ca="1" si="24"/>
        <v>-905.49480282364675</v>
      </c>
    </row>
    <row r="201" spans="2:5" x14ac:dyDescent="0.2">
      <c r="B201" s="156">
        <f t="shared" si="25"/>
        <v>126</v>
      </c>
      <c r="C201">
        <f t="shared" ca="1" si="22"/>
        <v>15477.071899242268</v>
      </c>
      <c r="D201">
        <f t="shared" ca="1" si="23"/>
        <v>8652.8107428796229</v>
      </c>
      <c r="E201">
        <f t="shared" ca="1" si="24"/>
        <v>6824.2611563626451</v>
      </c>
    </row>
    <row r="202" spans="2:5" x14ac:dyDescent="0.2">
      <c r="B202" s="156">
        <f t="shared" si="25"/>
        <v>127</v>
      </c>
      <c r="C202">
        <f t="shared" ca="1" si="22"/>
        <v>11538.633444044855</v>
      </c>
      <c r="D202">
        <f t="shared" ca="1" si="23"/>
        <v>11234.433398509071</v>
      </c>
      <c r="E202">
        <f t="shared" ca="1" si="24"/>
        <v>304.20004553578474</v>
      </c>
    </row>
    <row r="203" spans="2:5" x14ac:dyDescent="0.2">
      <c r="B203" s="156">
        <f t="shared" si="25"/>
        <v>128</v>
      </c>
      <c r="C203">
        <f t="shared" ca="1" si="22"/>
        <v>15026.264700448633</v>
      </c>
      <c r="D203">
        <f t="shared" ca="1" si="23"/>
        <v>13945.172515478413</v>
      </c>
      <c r="E203">
        <f t="shared" ca="1" si="24"/>
        <v>1081.0921849702208</v>
      </c>
    </row>
    <row r="204" spans="2:5" x14ac:dyDescent="0.2">
      <c r="B204" s="156">
        <f t="shared" si="25"/>
        <v>129</v>
      </c>
      <c r="C204">
        <f t="shared" ca="1" si="22"/>
        <v>14441.248397408695</v>
      </c>
      <c r="D204">
        <f t="shared" ca="1" si="23"/>
        <v>14884.376212109242</v>
      </c>
      <c r="E204">
        <f t="shared" ca="1" si="24"/>
        <v>-443.12781470054688</v>
      </c>
    </row>
    <row r="205" spans="2:5" x14ac:dyDescent="0.2">
      <c r="B205" s="156">
        <f t="shared" si="25"/>
        <v>130</v>
      </c>
      <c r="C205">
        <f t="shared" ref="C205:C268" ca="1" si="26">$C$70*(1+_xlfn.NORM.S.INV(RAND())*$C$72)</f>
        <v>17627.171552480035</v>
      </c>
      <c r="D205">
        <f t="shared" ref="D205:D268" ca="1" si="27">$C$71*(1+_xlfn.NORM.S.INV(RAND())*$C$73)</f>
        <v>13134.504966762432</v>
      </c>
      <c r="E205">
        <f t="shared" ref="E205:E268" ca="1" si="28">C205-D205</f>
        <v>4492.6665857176031</v>
      </c>
    </row>
    <row r="206" spans="2:5" x14ac:dyDescent="0.2">
      <c r="B206" s="156">
        <f t="shared" ref="B206:B269" si="29">B205+1</f>
        <v>131</v>
      </c>
      <c r="C206">
        <f t="shared" ca="1" si="26"/>
        <v>14381.334680252026</v>
      </c>
      <c r="D206">
        <f t="shared" ca="1" si="27"/>
        <v>13642.081012884057</v>
      </c>
      <c r="E206">
        <f t="shared" ca="1" si="28"/>
        <v>739.25366736796968</v>
      </c>
    </row>
    <row r="207" spans="2:5" x14ac:dyDescent="0.2">
      <c r="B207" s="156">
        <f t="shared" si="29"/>
        <v>132</v>
      </c>
      <c r="C207">
        <f t="shared" ca="1" si="26"/>
        <v>14311.326343326264</v>
      </c>
      <c r="D207">
        <f t="shared" ca="1" si="27"/>
        <v>11502.363002587254</v>
      </c>
      <c r="E207">
        <f t="shared" ca="1" si="28"/>
        <v>2808.9633407390102</v>
      </c>
    </row>
    <row r="208" spans="2:5" x14ac:dyDescent="0.2">
      <c r="B208" s="156">
        <f t="shared" si="29"/>
        <v>133</v>
      </c>
      <c r="C208">
        <f t="shared" ca="1" si="26"/>
        <v>15418.303832188994</v>
      </c>
      <c r="D208">
        <f t="shared" ca="1" si="27"/>
        <v>12350.63231256108</v>
      </c>
      <c r="E208">
        <f t="shared" ca="1" si="28"/>
        <v>3067.6715196279147</v>
      </c>
    </row>
    <row r="209" spans="2:5" x14ac:dyDescent="0.2">
      <c r="B209" s="156">
        <f t="shared" si="29"/>
        <v>134</v>
      </c>
      <c r="C209">
        <f t="shared" ca="1" si="26"/>
        <v>14554.241126171137</v>
      </c>
      <c r="D209">
        <f t="shared" ca="1" si="27"/>
        <v>11636.362128418816</v>
      </c>
      <c r="E209">
        <f t="shared" ca="1" si="28"/>
        <v>2917.8789977523211</v>
      </c>
    </row>
    <row r="210" spans="2:5" x14ac:dyDescent="0.2">
      <c r="B210" s="156">
        <f t="shared" si="29"/>
        <v>135</v>
      </c>
      <c r="C210">
        <f t="shared" ca="1" si="26"/>
        <v>13716.125081794549</v>
      </c>
      <c r="D210">
        <f t="shared" ca="1" si="27"/>
        <v>14728.772584670414</v>
      </c>
      <c r="E210">
        <f t="shared" ca="1" si="28"/>
        <v>-1012.647502875865</v>
      </c>
    </row>
    <row r="211" spans="2:5" x14ac:dyDescent="0.2">
      <c r="B211" s="156">
        <f t="shared" si="29"/>
        <v>136</v>
      </c>
      <c r="C211">
        <f t="shared" ca="1" si="26"/>
        <v>14738.552759922319</v>
      </c>
      <c r="D211">
        <f t="shared" ca="1" si="27"/>
        <v>12051.5103826012</v>
      </c>
      <c r="E211">
        <f t="shared" ca="1" si="28"/>
        <v>2687.0423773211187</v>
      </c>
    </row>
    <row r="212" spans="2:5" x14ac:dyDescent="0.2">
      <c r="B212" s="156">
        <f t="shared" si="29"/>
        <v>137</v>
      </c>
      <c r="C212">
        <f t="shared" ca="1" si="26"/>
        <v>16203.293463016733</v>
      </c>
      <c r="D212">
        <f t="shared" ca="1" si="27"/>
        <v>11726.300856761103</v>
      </c>
      <c r="E212">
        <f t="shared" ca="1" si="28"/>
        <v>4476.9926062556297</v>
      </c>
    </row>
    <row r="213" spans="2:5" x14ac:dyDescent="0.2">
      <c r="B213" s="156">
        <f t="shared" si="29"/>
        <v>138</v>
      </c>
      <c r="C213">
        <f t="shared" ca="1" si="26"/>
        <v>17299.275183639587</v>
      </c>
      <c r="D213">
        <f t="shared" ca="1" si="27"/>
        <v>12282.410923719013</v>
      </c>
      <c r="E213">
        <f t="shared" ca="1" si="28"/>
        <v>5016.8642599205741</v>
      </c>
    </row>
    <row r="214" spans="2:5" x14ac:dyDescent="0.2">
      <c r="B214" s="156">
        <f t="shared" si="29"/>
        <v>139</v>
      </c>
      <c r="C214">
        <f t="shared" ca="1" si="26"/>
        <v>14691.331082472019</v>
      </c>
      <c r="D214">
        <f t="shared" ca="1" si="27"/>
        <v>10486.166753820693</v>
      </c>
      <c r="E214">
        <f t="shared" ca="1" si="28"/>
        <v>4205.1643286513263</v>
      </c>
    </row>
    <row r="215" spans="2:5" x14ac:dyDescent="0.2">
      <c r="B215" s="156">
        <f t="shared" si="29"/>
        <v>140</v>
      </c>
      <c r="C215">
        <f t="shared" ca="1" si="26"/>
        <v>15096.91648008057</v>
      </c>
      <c r="D215">
        <f t="shared" ca="1" si="27"/>
        <v>12135.237249804275</v>
      </c>
      <c r="E215">
        <f t="shared" ca="1" si="28"/>
        <v>2961.6792302762951</v>
      </c>
    </row>
    <row r="216" spans="2:5" x14ac:dyDescent="0.2">
      <c r="B216" s="156">
        <f t="shared" si="29"/>
        <v>141</v>
      </c>
      <c r="C216">
        <f t="shared" ca="1" si="26"/>
        <v>17099.9146093985</v>
      </c>
      <c r="D216">
        <f t="shared" ca="1" si="27"/>
        <v>10784.647235852473</v>
      </c>
      <c r="E216">
        <f t="shared" ca="1" si="28"/>
        <v>6315.2673735460266</v>
      </c>
    </row>
    <row r="217" spans="2:5" x14ac:dyDescent="0.2">
      <c r="B217" s="156">
        <f t="shared" si="29"/>
        <v>142</v>
      </c>
      <c r="C217">
        <f t="shared" ca="1" si="26"/>
        <v>10412.60272174927</v>
      </c>
      <c r="D217">
        <f t="shared" ca="1" si="27"/>
        <v>13344.59509707711</v>
      </c>
      <c r="E217">
        <f t="shared" ca="1" si="28"/>
        <v>-2931.9923753278399</v>
      </c>
    </row>
    <row r="218" spans="2:5" x14ac:dyDescent="0.2">
      <c r="B218" s="156">
        <f t="shared" si="29"/>
        <v>143</v>
      </c>
      <c r="C218">
        <f t="shared" ca="1" si="26"/>
        <v>15432.362855126465</v>
      </c>
      <c r="D218">
        <f t="shared" ca="1" si="27"/>
        <v>11521.66363559733</v>
      </c>
      <c r="E218">
        <f t="shared" ca="1" si="28"/>
        <v>3910.699219529135</v>
      </c>
    </row>
    <row r="219" spans="2:5" x14ac:dyDescent="0.2">
      <c r="B219" s="156">
        <f t="shared" si="29"/>
        <v>144</v>
      </c>
      <c r="C219">
        <f t="shared" ca="1" si="26"/>
        <v>14729.235269599618</v>
      </c>
      <c r="D219">
        <f t="shared" ca="1" si="27"/>
        <v>12532.48967671762</v>
      </c>
      <c r="E219">
        <f t="shared" ca="1" si="28"/>
        <v>2196.7455928819982</v>
      </c>
    </row>
    <row r="220" spans="2:5" x14ac:dyDescent="0.2">
      <c r="B220" s="156">
        <f t="shared" si="29"/>
        <v>145</v>
      </c>
      <c r="C220">
        <f t="shared" ca="1" si="26"/>
        <v>16213.360618212897</v>
      </c>
      <c r="D220">
        <f t="shared" ca="1" si="27"/>
        <v>10646.742275903358</v>
      </c>
      <c r="E220">
        <f t="shared" ca="1" si="28"/>
        <v>5566.618342309539</v>
      </c>
    </row>
    <row r="221" spans="2:5" x14ac:dyDescent="0.2">
      <c r="B221" s="156">
        <f t="shared" si="29"/>
        <v>146</v>
      </c>
      <c r="C221">
        <f t="shared" ca="1" si="26"/>
        <v>15627.790459603331</v>
      </c>
      <c r="D221">
        <f t="shared" ca="1" si="27"/>
        <v>13812.122323734233</v>
      </c>
      <c r="E221">
        <f t="shared" ca="1" si="28"/>
        <v>1815.6681358690985</v>
      </c>
    </row>
    <row r="222" spans="2:5" x14ac:dyDescent="0.2">
      <c r="B222" s="156">
        <f t="shared" si="29"/>
        <v>147</v>
      </c>
      <c r="C222">
        <f t="shared" ca="1" si="26"/>
        <v>15394.810309468281</v>
      </c>
      <c r="D222">
        <f t="shared" ca="1" si="27"/>
        <v>12918.335773705645</v>
      </c>
      <c r="E222">
        <f t="shared" ca="1" si="28"/>
        <v>2476.4745357626362</v>
      </c>
    </row>
    <row r="223" spans="2:5" x14ac:dyDescent="0.2">
      <c r="B223" s="156">
        <f t="shared" si="29"/>
        <v>148</v>
      </c>
      <c r="C223">
        <f t="shared" ca="1" si="26"/>
        <v>12672.66688480411</v>
      </c>
      <c r="D223">
        <f t="shared" ca="1" si="27"/>
        <v>12720.480629606658</v>
      </c>
      <c r="E223">
        <f t="shared" ca="1" si="28"/>
        <v>-47.813744802548172</v>
      </c>
    </row>
    <row r="224" spans="2:5" x14ac:dyDescent="0.2">
      <c r="B224" s="156">
        <f t="shared" si="29"/>
        <v>149</v>
      </c>
      <c r="C224">
        <f t="shared" ca="1" si="26"/>
        <v>13601.687063953685</v>
      </c>
      <c r="D224">
        <f t="shared" ca="1" si="27"/>
        <v>12298.555178729061</v>
      </c>
      <c r="E224">
        <f t="shared" ca="1" si="28"/>
        <v>1303.1318852246241</v>
      </c>
    </row>
    <row r="225" spans="2:5" x14ac:dyDescent="0.2">
      <c r="B225" s="156">
        <f t="shared" si="29"/>
        <v>150</v>
      </c>
      <c r="C225">
        <f t="shared" ca="1" si="26"/>
        <v>15555.927808848239</v>
      </c>
      <c r="D225">
        <f t="shared" ca="1" si="27"/>
        <v>11927.176304781489</v>
      </c>
      <c r="E225">
        <f t="shared" ca="1" si="28"/>
        <v>3628.7515040667495</v>
      </c>
    </row>
    <row r="226" spans="2:5" x14ac:dyDescent="0.2">
      <c r="B226" s="156">
        <f t="shared" si="29"/>
        <v>151</v>
      </c>
      <c r="C226">
        <f t="shared" ca="1" si="26"/>
        <v>16159.096448559401</v>
      </c>
      <c r="D226">
        <f t="shared" ca="1" si="27"/>
        <v>11382.475858696864</v>
      </c>
      <c r="E226">
        <f t="shared" ca="1" si="28"/>
        <v>4776.6205898625376</v>
      </c>
    </row>
    <row r="227" spans="2:5" x14ac:dyDescent="0.2">
      <c r="B227" s="156">
        <f t="shared" si="29"/>
        <v>152</v>
      </c>
      <c r="C227">
        <f t="shared" ca="1" si="26"/>
        <v>15592.593199478859</v>
      </c>
      <c r="D227">
        <f t="shared" ca="1" si="27"/>
        <v>14394.589371632117</v>
      </c>
      <c r="E227">
        <f t="shared" ca="1" si="28"/>
        <v>1198.0038278467418</v>
      </c>
    </row>
    <row r="228" spans="2:5" x14ac:dyDescent="0.2">
      <c r="B228" s="156">
        <f t="shared" si="29"/>
        <v>153</v>
      </c>
      <c r="C228">
        <f t="shared" ca="1" si="26"/>
        <v>14354.614872365701</v>
      </c>
      <c r="D228">
        <f t="shared" ca="1" si="27"/>
        <v>12345.879290256242</v>
      </c>
      <c r="E228">
        <f t="shared" ca="1" si="28"/>
        <v>2008.7355821094588</v>
      </c>
    </row>
    <row r="229" spans="2:5" x14ac:dyDescent="0.2">
      <c r="B229" s="156">
        <f t="shared" si="29"/>
        <v>154</v>
      </c>
      <c r="C229">
        <f t="shared" ca="1" si="26"/>
        <v>16713.409212901191</v>
      </c>
      <c r="D229">
        <f t="shared" ca="1" si="27"/>
        <v>11126.492942293717</v>
      </c>
      <c r="E229">
        <f t="shared" ca="1" si="28"/>
        <v>5586.9162706074749</v>
      </c>
    </row>
    <row r="230" spans="2:5" x14ac:dyDescent="0.2">
      <c r="B230" s="156">
        <f t="shared" si="29"/>
        <v>155</v>
      </c>
      <c r="C230">
        <f t="shared" ca="1" si="26"/>
        <v>15487.021738371939</v>
      </c>
      <c r="D230">
        <f t="shared" ca="1" si="27"/>
        <v>10898.160571663311</v>
      </c>
      <c r="E230">
        <f t="shared" ca="1" si="28"/>
        <v>4588.8611667086279</v>
      </c>
    </row>
    <row r="231" spans="2:5" x14ac:dyDescent="0.2">
      <c r="B231" s="156">
        <f t="shared" si="29"/>
        <v>156</v>
      </c>
      <c r="C231">
        <f t="shared" ca="1" si="26"/>
        <v>14941.542625159933</v>
      </c>
      <c r="D231">
        <f t="shared" ca="1" si="27"/>
        <v>11766.679886987271</v>
      </c>
      <c r="E231">
        <f t="shared" ca="1" si="28"/>
        <v>3174.8627381726619</v>
      </c>
    </row>
    <row r="232" spans="2:5" x14ac:dyDescent="0.2">
      <c r="B232" s="156">
        <f t="shared" si="29"/>
        <v>157</v>
      </c>
      <c r="C232">
        <f t="shared" ca="1" si="26"/>
        <v>14800.93738123627</v>
      </c>
      <c r="D232">
        <f t="shared" ca="1" si="27"/>
        <v>12958.186401592497</v>
      </c>
      <c r="E232">
        <f t="shared" ca="1" si="28"/>
        <v>1842.7509796437735</v>
      </c>
    </row>
    <row r="233" spans="2:5" x14ac:dyDescent="0.2">
      <c r="B233" s="156">
        <f t="shared" si="29"/>
        <v>158</v>
      </c>
      <c r="C233">
        <f t="shared" ca="1" si="26"/>
        <v>15612.625901237443</v>
      </c>
      <c r="D233">
        <f t="shared" ca="1" si="27"/>
        <v>13358.113582733395</v>
      </c>
      <c r="E233">
        <f t="shared" ca="1" si="28"/>
        <v>2254.5123185040484</v>
      </c>
    </row>
    <row r="234" spans="2:5" x14ac:dyDescent="0.2">
      <c r="B234" s="156">
        <f t="shared" si="29"/>
        <v>159</v>
      </c>
      <c r="C234">
        <f t="shared" ca="1" si="26"/>
        <v>15112.853640850073</v>
      </c>
      <c r="D234">
        <f t="shared" ca="1" si="27"/>
        <v>10213.55113052964</v>
      </c>
      <c r="E234">
        <f t="shared" ca="1" si="28"/>
        <v>4899.3025103204327</v>
      </c>
    </row>
    <row r="235" spans="2:5" x14ac:dyDescent="0.2">
      <c r="B235" s="156">
        <f t="shared" si="29"/>
        <v>160</v>
      </c>
      <c r="C235">
        <f t="shared" ca="1" si="26"/>
        <v>14368.278039463123</v>
      </c>
      <c r="D235">
        <f t="shared" ca="1" si="27"/>
        <v>12070.861474408559</v>
      </c>
      <c r="E235">
        <f t="shared" ca="1" si="28"/>
        <v>2297.4165650545638</v>
      </c>
    </row>
    <row r="236" spans="2:5" x14ac:dyDescent="0.2">
      <c r="B236" s="156">
        <f t="shared" si="29"/>
        <v>161</v>
      </c>
      <c r="C236">
        <f t="shared" ca="1" si="26"/>
        <v>14687.409796720756</v>
      </c>
      <c r="D236">
        <f t="shared" ca="1" si="27"/>
        <v>11044.576605469034</v>
      </c>
      <c r="E236">
        <f t="shared" ca="1" si="28"/>
        <v>3642.8331912517224</v>
      </c>
    </row>
    <row r="237" spans="2:5" x14ac:dyDescent="0.2">
      <c r="B237" s="156">
        <f t="shared" si="29"/>
        <v>162</v>
      </c>
      <c r="C237">
        <f t="shared" ca="1" si="26"/>
        <v>13671.913466095508</v>
      </c>
      <c r="D237">
        <f t="shared" ca="1" si="27"/>
        <v>11110.202853494706</v>
      </c>
      <c r="E237">
        <f t="shared" ca="1" si="28"/>
        <v>2561.7106126008021</v>
      </c>
    </row>
    <row r="238" spans="2:5" x14ac:dyDescent="0.2">
      <c r="B238" s="156">
        <f t="shared" si="29"/>
        <v>163</v>
      </c>
      <c r="C238">
        <f t="shared" ca="1" si="26"/>
        <v>15846.698211432649</v>
      </c>
      <c r="D238">
        <f t="shared" ca="1" si="27"/>
        <v>10344.748410653936</v>
      </c>
      <c r="E238">
        <f t="shared" ca="1" si="28"/>
        <v>5501.9498007787133</v>
      </c>
    </row>
    <row r="239" spans="2:5" x14ac:dyDescent="0.2">
      <c r="B239" s="156">
        <f t="shared" si="29"/>
        <v>164</v>
      </c>
      <c r="C239">
        <f t="shared" ca="1" si="26"/>
        <v>16088.582422847177</v>
      </c>
      <c r="D239">
        <f t="shared" ca="1" si="27"/>
        <v>11175.463345758018</v>
      </c>
      <c r="E239">
        <f t="shared" ca="1" si="28"/>
        <v>4913.119077089159</v>
      </c>
    </row>
    <row r="240" spans="2:5" x14ac:dyDescent="0.2">
      <c r="B240" s="156">
        <f t="shared" si="29"/>
        <v>165</v>
      </c>
      <c r="C240">
        <f t="shared" ca="1" si="26"/>
        <v>14642.986587621535</v>
      </c>
      <c r="D240">
        <f t="shared" ca="1" si="27"/>
        <v>13005.227951759771</v>
      </c>
      <c r="E240">
        <f t="shared" ca="1" si="28"/>
        <v>1637.7586358617646</v>
      </c>
    </row>
    <row r="241" spans="2:5" x14ac:dyDescent="0.2">
      <c r="B241" s="156">
        <f t="shared" si="29"/>
        <v>166</v>
      </c>
      <c r="C241">
        <f t="shared" ca="1" si="26"/>
        <v>12410.480205942762</v>
      </c>
      <c r="D241">
        <f t="shared" ca="1" si="27"/>
        <v>12385.921359097933</v>
      </c>
      <c r="E241">
        <f t="shared" ca="1" si="28"/>
        <v>24.558846844829532</v>
      </c>
    </row>
    <row r="242" spans="2:5" x14ac:dyDescent="0.2">
      <c r="B242" s="156">
        <f t="shared" si="29"/>
        <v>167</v>
      </c>
      <c r="C242">
        <f t="shared" ca="1" si="26"/>
        <v>16940.960837478844</v>
      </c>
      <c r="D242">
        <f t="shared" ca="1" si="27"/>
        <v>12098.590614746106</v>
      </c>
      <c r="E242">
        <f t="shared" ca="1" si="28"/>
        <v>4842.3702227327376</v>
      </c>
    </row>
    <row r="243" spans="2:5" x14ac:dyDescent="0.2">
      <c r="B243" s="156">
        <f t="shared" si="29"/>
        <v>168</v>
      </c>
      <c r="C243">
        <f t="shared" ca="1" si="26"/>
        <v>15263.634347929976</v>
      </c>
      <c r="D243">
        <f t="shared" ca="1" si="27"/>
        <v>10307.118956016013</v>
      </c>
      <c r="E243">
        <f t="shared" ca="1" si="28"/>
        <v>4956.515391913963</v>
      </c>
    </row>
    <row r="244" spans="2:5" x14ac:dyDescent="0.2">
      <c r="B244" s="156">
        <f t="shared" si="29"/>
        <v>169</v>
      </c>
      <c r="C244">
        <f t="shared" ca="1" si="26"/>
        <v>15923.745285672325</v>
      </c>
      <c r="D244">
        <f t="shared" ca="1" si="27"/>
        <v>11744.22690750965</v>
      </c>
      <c r="E244">
        <f t="shared" ca="1" si="28"/>
        <v>4179.5183781626747</v>
      </c>
    </row>
    <row r="245" spans="2:5" x14ac:dyDescent="0.2">
      <c r="B245" s="156">
        <f t="shared" si="29"/>
        <v>170</v>
      </c>
      <c r="C245">
        <f t="shared" ca="1" si="26"/>
        <v>16027.542642685397</v>
      </c>
      <c r="D245">
        <f t="shared" ca="1" si="27"/>
        <v>12266.107363129509</v>
      </c>
      <c r="E245">
        <f t="shared" ca="1" si="28"/>
        <v>3761.435279555888</v>
      </c>
    </row>
    <row r="246" spans="2:5" x14ac:dyDescent="0.2">
      <c r="B246" s="156">
        <f t="shared" si="29"/>
        <v>171</v>
      </c>
      <c r="C246">
        <f t="shared" ca="1" si="26"/>
        <v>13587.640058702518</v>
      </c>
      <c r="D246">
        <f t="shared" ca="1" si="27"/>
        <v>11104.97639303693</v>
      </c>
      <c r="E246">
        <f t="shared" ca="1" si="28"/>
        <v>2482.6636656655883</v>
      </c>
    </row>
    <row r="247" spans="2:5" x14ac:dyDescent="0.2">
      <c r="B247" s="156">
        <f t="shared" si="29"/>
        <v>172</v>
      </c>
      <c r="C247">
        <f t="shared" ca="1" si="26"/>
        <v>16455.544603976377</v>
      </c>
      <c r="D247">
        <f t="shared" ca="1" si="27"/>
        <v>10899.356563556921</v>
      </c>
      <c r="E247">
        <f t="shared" ca="1" si="28"/>
        <v>5556.1880404194562</v>
      </c>
    </row>
    <row r="248" spans="2:5" x14ac:dyDescent="0.2">
      <c r="B248" s="156">
        <f t="shared" si="29"/>
        <v>173</v>
      </c>
      <c r="C248">
        <f t="shared" ca="1" si="26"/>
        <v>14790.932339862504</v>
      </c>
      <c r="D248">
        <f t="shared" ca="1" si="27"/>
        <v>12509.668654671616</v>
      </c>
      <c r="E248">
        <f t="shared" ca="1" si="28"/>
        <v>2281.2636851908883</v>
      </c>
    </row>
    <row r="249" spans="2:5" x14ac:dyDescent="0.2">
      <c r="B249" s="156">
        <f t="shared" si="29"/>
        <v>174</v>
      </c>
      <c r="C249">
        <f t="shared" ca="1" si="26"/>
        <v>14619.383894303666</v>
      </c>
      <c r="D249">
        <f t="shared" ca="1" si="27"/>
        <v>13897.915963739286</v>
      </c>
      <c r="E249">
        <f t="shared" ca="1" si="28"/>
        <v>721.46793056438037</v>
      </c>
    </row>
    <row r="250" spans="2:5" x14ac:dyDescent="0.2">
      <c r="B250" s="156">
        <f t="shared" si="29"/>
        <v>175</v>
      </c>
      <c r="C250">
        <f t="shared" ca="1" si="26"/>
        <v>13896.489232625509</v>
      </c>
      <c r="D250">
        <f t="shared" ca="1" si="27"/>
        <v>13207.349192407315</v>
      </c>
      <c r="E250">
        <f t="shared" ca="1" si="28"/>
        <v>689.14004021819346</v>
      </c>
    </row>
    <row r="251" spans="2:5" x14ac:dyDescent="0.2">
      <c r="B251" s="156">
        <f t="shared" si="29"/>
        <v>176</v>
      </c>
      <c r="C251">
        <f t="shared" ca="1" si="26"/>
        <v>16365.52839393493</v>
      </c>
      <c r="D251">
        <f t="shared" ca="1" si="27"/>
        <v>12920.155524378208</v>
      </c>
      <c r="E251">
        <f t="shared" ca="1" si="28"/>
        <v>3445.3728695567224</v>
      </c>
    </row>
    <row r="252" spans="2:5" x14ac:dyDescent="0.2">
      <c r="B252" s="156">
        <f t="shared" si="29"/>
        <v>177</v>
      </c>
      <c r="C252">
        <f t="shared" ca="1" si="26"/>
        <v>15565.748812351985</v>
      </c>
      <c r="D252">
        <f t="shared" ca="1" si="27"/>
        <v>12106.620147392816</v>
      </c>
      <c r="E252">
        <f t="shared" ca="1" si="28"/>
        <v>3459.1286649591693</v>
      </c>
    </row>
    <row r="253" spans="2:5" x14ac:dyDescent="0.2">
      <c r="B253" s="156">
        <f t="shared" si="29"/>
        <v>178</v>
      </c>
      <c r="C253">
        <f t="shared" ca="1" si="26"/>
        <v>15804.085576847992</v>
      </c>
      <c r="D253">
        <f t="shared" ca="1" si="27"/>
        <v>11787.883129870123</v>
      </c>
      <c r="E253">
        <f t="shared" ca="1" si="28"/>
        <v>4016.2024469778698</v>
      </c>
    </row>
    <row r="254" spans="2:5" x14ac:dyDescent="0.2">
      <c r="B254" s="156">
        <f t="shared" si="29"/>
        <v>179</v>
      </c>
      <c r="C254">
        <f t="shared" ca="1" si="26"/>
        <v>14406.733764062054</v>
      </c>
      <c r="D254">
        <f t="shared" ca="1" si="27"/>
        <v>11274.501769869341</v>
      </c>
      <c r="E254">
        <f t="shared" ca="1" si="28"/>
        <v>3132.2319941927126</v>
      </c>
    </row>
    <row r="255" spans="2:5" x14ac:dyDescent="0.2">
      <c r="B255" s="156">
        <f t="shared" si="29"/>
        <v>180</v>
      </c>
      <c r="C255">
        <f t="shared" ca="1" si="26"/>
        <v>15764.374161593572</v>
      </c>
      <c r="D255">
        <f t="shared" ca="1" si="27"/>
        <v>11819.029122934295</v>
      </c>
      <c r="E255">
        <f t="shared" ca="1" si="28"/>
        <v>3945.3450386592776</v>
      </c>
    </row>
    <row r="256" spans="2:5" x14ac:dyDescent="0.2">
      <c r="B256" s="156">
        <f t="shared" si="29"/>
        <v>181</v>
      </c>
      <c r="C256">
        <f t="shared" ca="1" si="26"/>
        <v>14109.50562395915</v>
      </c>
      <c r="D256">
        <f t="shared" ca="1" si="27"/>
        <v>11522.023223285349</v>
      </c>
      <c r="E256">
        <f t="shared" ca="1" si="28"/>
        <v>2587.4824006738017</v>
      </c>
    </row>
    <row r="257" spans="2:5" x14ac:dyDescent="0.2">
      <c r="B257" s="156">
        <f t="shared" si="29"/>
        <v>182</v>
      </c>
      <c r="C257">
        <f t="shared" ca="1" si="26"/>
        <v>13319.788426039511</v>
      </c>
      <c r="D257">
        <f t="shared" ca="1" si="27"/>
        <v>12802.99162679348</v>
      </c>
      <c r="E257">
        <f t="shared" ca="1" si="28"/>
        <v>516.79679924603079</v>
      </c>
    </row>
    <row r="258" spans="2:5" x14ac:dyDescent="0.2">
      <c r="B258" s="156">
        <f t="shared" si="29"/>
        <v>183</v>
      </c>
      <c r="C258">
        <f t="shared" ca="1" si="26"/>
        <v>15479.625449051764</v>
      </c>
      <c r="D258">
        <f t="shared" ca="1" si="27"/>
        <v>10872.855420305996</v>
      </c>
      <c r="E258">
        <f t="shared" ca="1" si="28"/>
        <v>4606.7700287457683</v>
      </c>
    </row>
    <row r="259" spans="2:5" x14ac:dyDescent="0.2">
      <c r="B259" s="156">
        <f t="shared" si="29"/>
        <v>184</v>
      </c>
      <c r="C259">
        <f t="shared" ca="1" si="26"/>
        <v>14105.884320957473</v>
      </c>
      <c r="D259">
        <f t="shared" ca="1" si="27"/>
        <v>12370.286892797654</v>
      </c>
      <c r="E259">
        <f t="shared" ca="1" si="28"/>
        <v>1735.5974281598192</v>
      </c>
    </row>
    <row r="260" spans="2:5" x14ac:dyDescent="0.2">
      <c r="B260" s="156">
        <f t="shared" si="29"/>
        <v>185</v>
      </c>
      <c r="C260">
        <f t="shared" ca="1" si="26"/>
        <v>14220.939044939414</v>
      </c>
      <c r="D260">
        <f t="shared" ca="1" si="27"/>
        <v>11905.388894471076</v>
      </c>
      <c r="E260">
        <f t="shared" ca="1" si="28"/>
        <v>2315.550150468338</v>
      </c>
    </row>
    <row r="261" spans="2:5" x14ac:dyDescent="0.2">
      <c r="B261" s="156">
        <f t="shared" si="29"/>
        <v>186</v>
      </c>
      <c r="C261">
        <f t="shared" ca="1" si="26"/>
        <v>16239.302366414166</v>
      </c>
      <c r="D261">
        <f t="shared" ca="1" si="27"/>
        <v>12329.891683861593</v>
      </c>
      <c r="E261">
        <f t="shared" ca="1" si="28"/>
        <v>3909.4106825525723</v>
      </c>
    </row>
    <row r="262" spans="2:5" x14ac:dyDescent="0.2">
      <c r="B262" s="156">
        <f t="shared" si="29"/>
        <v>187</v>
      </c>
      <c r="C262">
        <f t="shared" ca="1" si="26"/>
        <v>16068.254672186318</v>
      </c>
      <c r="D262">
        <f t="shared" ca="1" si="27"/>
        <v>12337.981069304606</v>
      </c>
      <c r="E262">
        <f t="shared" ca="1" si="28"/>
        <v>3730.2736028817126</v>
      </c>
    </row>
    <row r="263" spans="2:5" x14ac:dyDescent="0.2">
      <c r="B263" s="156">
        <f t="shared" si="29"/>
        <v>188</v>
      </c>
      <c r="C263">
        <f t="shared" ca="1" si="26"/>
        <v>12144.836787202301</v>
      </c>
      <c r="D263">
        <f t="shared" ca="1" si="27"/>
        <v>10601.596051747521</v>
      </c>
      <c r="E263">
        <f t="shared" ca="1" si="28"/>
        <v>1543.2407354547795</v>
      </c>
    </row>
    <row r="264" spans="2:5" x14ac:dyDescent="0.2">
      <c r="B264" s="156">
        <f t="shared" si="29"/>
        <v>189</v>
      </c>
      <c r="C264">
        <f t="shared" ca="1" si="26"/>
        <v>15139.170780347351</v>
      </c>
      <c r="D264">
        <f t="shared" ca="1" si="27"/>
        <v>12660.686407950572</v>
      </c>
      <c r="E264">
        <f t="shared" ca="1" si="28"/>
        <v>2478.4843723967788</v>
      </c>
    </row>
    <row r="265" spans="2:5" x14ac:dyDescent="0.2">
      <c r="B265" s="156">
        <f t="shared" si="29"/>
        <v>190</v>
      </c>
      <c r="C265">
        <f t="shared" ca="1" si="26"/>
        <v>17940.392824682509</v>
      </c>
      <c r="D265">
        <f t="shared" ca="1" si="27"/>
        <v>10584.710424952495</v>
      </c>
      <c r="E265">
        <f t="shared" ca="1" si="28"/>
        <v>7355.6823997300144</v>
      </c>
    </row>
    <row r="266" spans="2:5" x14ac:dyDescent="0.2">
      <c r="B266" s="156">
        <f t="shared" si="29"/>
        <v>191</v>
      </c>
      <c r="C266">
        <f t="shared" ca="1" si="26"/>
        <v>13314.29645882666</v>
      </c>
      <c r="D266">
        <f t="shared" ca="1" si="27"/>
        <v>12381.276939190693</v>
      </c>
      <c r="E266">
        <f t="shared" ca="1" si="28"/>
        <v>933.0195196359673</v>
      </c>
    </row>
    <row r="267" spans="2:5" x14ac:dyDescent="0.2">
      <c r="B267" s="156">
        <f t="shared" si="29"/>
        <v>192</v>
      </c>
      <c r="C267">
        <f t="shared" ca="1" si="26"/>
        <v>15247.74148985196</v>
      </c>
      <c r="D267">
        <f t="shared" ca="1" si="27"/>
        <v>12615.01728636372</v>
      </c>
      <c r="E267">
        <f t="shared" ca="1" si="28"/>
        <v>2632.7242034882402</v>
      </c>
    </row>
    <row r="268" spans="2:5" x14ac:dyDescent="0.2">
      <c r="B268" s="156">
        <f t="shared" si="29"/>
        <v>193</v>
      </c>
      <c r="C268">
        <f t="shared" ca="1" si="26"/>
        <v>12893.555604735498</v>
      </c>
      <c r="D268">
        <f t="shared" ca="1" si="27"/>
        <v>12674.631988955303</v>
      </c>
      <c r="E268">
        <f t="shared" ca="1" si="28"/>
        <v>218.92361578019518</v>
      </c>
    </row>
    <row r="269" spans="2:5" x14ac:dyDescent="0.2">
      <c r="B269" s="156">
        <f t="shared" si="29"/>
        <v>194</v>
      </c>
      <c r="C269">
        <f t="shared" ref="C269:C332" ca="1" si="30">$C$70*(1+_xlfn.NORM.S.INV(RAND())*$C$72)</f>
        <v>14676.296501869854</v>
      </c>
      <c r="D269">
        <f t="shared" ref="D269:D332" ca="1" si="31">$C$71*(1+_xlfn.NORM.S.INV(RAND())*$C$73)</f>
        <v>12627.488721392669</v>
      </c>
      <c r="E269">
        <f t="shared" ref="E269:E332" ca="1" si="32">C269-D269</f>
        <v>2048.8077804771856</v>
      </c>
    </row>
    <row r="270" spans="2:5" x14ac:dyDescent="0.2">
      <c r="B270" s="156">
        <f t="shared" ref="B270:B333" si="33">B269+1</f>
        <v>195</v>
      </c>
      <c r="C270">
        <f t="shared" ca="1" si="30"/>
        <v>13089.941099514061</v>
      </c>
      <c r="D270">
        <f t="shared" ca="1" si="31"/>
        <v>10837.624668910999</v>
      </c>
      <c r="E270">
        <f t="shared" ca="1" si="32"/>
        <v>2252.3164306030612</v>
      </c>
    </row>
    <row r="271" spans="2:5" x14ac:dyDescent="0.2">
      <c r="B271" s="156">
        <f t="shared" si="33"/>
        <v>196</v>
      </c>
      <c r="C271">
        <f t="shared" ca="1" si="30"/>
        <v>14176.729624270878</v>
      </c>
      <c r="D271">
        <f t="shared" ca="1" si="31"/>
        <v>10661.61367862949</v>
      </c>
      <c r="E271">
        <f t="shared" ca="1" si="32"/>
        <v>3515.115945641388</v>
      </c>
    </row>
    <row r="272" spans="2:5" x14ac:dyDescent="0.2">
      <c r="B272" s="156">
        <f t="shared" si="33"/>
        <v>197</v>
      </c>
      <c r="C272">
        <f t="shared" ca="1" si="30"/>
        <v>12761.743267052796</v>
      </c>
      <c r="D272">
        <f t="shared" ca="1" si="31"/>
        <v>14181.763556961729</v>
      </c>
      <c r="E272">
        <f t="shared" ca="1" si="32"/>
        <v>-1420.0202899089327</v>
      </c>
    </row>
    <row r="273" spans="2:5" x14ac:dyDescent="0.2">
      <c r="B273" s="156">
        <f t="shared" si="33"/>
        <v>198</v>
      </c>
      <c r="C273">
        <f t="shared" ca="1" si="30"/>
        <v>13907.623204883575</v>
      </c>
      <c r="D273">
        <f t="shared" ca="1" si="31"/>
        <v>13290.564671431881</v>
      </c>
      <c r="E273">
        <f t="shared" ca="1" si="32"/>
        <v>617.05853345169453</v>
      </c>
    </row>
    <row r="274" spans="2:5" x14ac:dyDescent="0.2">
      <c r="B274" s="156">
        <f t="shared" si="33"/>
        <v>199</v>
      </c>
      <c r="C274">
        <f t="shared" ca="1" si="30"/>
        <v>12041.229905887287</v>
      </c>
      <c r="D274">
        <f t="shared" ca="1" si="31"/>
        <v>10078.091065978753</v>
      </c>
      <c r="E274">
        <f t="shared" ca="1" si="32"/>
        <v>1963.1388399085336</v>
      </c>
    </row>
    <row r="275" spans="2:5" x14ac:dyDescent="0.2">
      <c r="B275" s="156">
        <f t="shared" si="33"/>
        <v>200</v>
      </c>
      <c r="C275">
        <f t="shared" ca="1" si="30"/>
        <v>12954.565058131499</v>
      </c>
      <c r="D275">
        <f t="shared" ca="1" si="31"/>
        <v>12604.561202439625</v>
      </c>
      <c r="E275">
        <f t="shared" ca="1" si="32"/>
        <v>350.00385569187347</v>
      </c>
    </row>
    <row r="276" spans="2:5" x14ac:dyDescent="0.2">
      <c r="B276" s="156">
        <f t="shared" si="33"/>
        <v>201</v>
      </c>
      <c r="C276">
        <f t="shared" ca="1" si="30"/>
        <v>13681.434838425394</v>
      </c>
      <c r="D276">
        <f t="shared" ca="1" si="31"/>
        <v>11575.017660522373</v>
      </c>
      <c r="E276">
        <f t="shared" ca="1" si="32"/>
        <v>2106.4171779030203</v>
      </c>
    </row>
    <row r="277" spans="2:5" x14ac:dyDescent="0.2">
      <c r="B277" s="156">
        <f t="shared" si="33"/>
        <v>202</v>
      </c>
      <c r="C277">
        <f t="shared" ca="1" si="30"/>
        <v>16362.642058516612</v>
      </c>
      <c r="D277">
        <f t="shared" ca="1" si="31"/>
        <v>11821.293567530565</v>
      </c>
      <c r="E277">
        <f t="shared" ca="1" si="32"/>
        <v>4541.3484909860472</v>
      </c>
    </row>
    <row r="278" spans="2:5" x14ac:dyDescent="0.2">
      <c r="B278" s="156">
        <f t="shared" si="33"/>
        <v>203</v>
      </c>
      <c r="C278">
        <f t="shared" ca="1" si="30"/>
        <v>16749.344659407096</v>
      </c>
      <c r="D278">
        <f t="shared" ca="1" si="31"/>
        <v>9904.7189813437817</v>
      </c>
      <c r="E278">
        <f t="shared" ca="1" si="32"/>
        <v>6844.6256780633139</v>
      </c>
    </row>
    <row r="279" spans="2:5" x14ac:dyDescent="0.2">
      <c r="B279" s="156">
        <f t="shared" si="33"/>
        <v>204</v>
      </c>
      <c r="C279">
        <f t="shared" ca="1" si="30"/>
        <v>15228.473652141163</v>
      </c>
      <c r="D279">
        <f t="shared" ca="1" si="31"/>
        <v>11363.835402002471</v>
      </c>
      <c r="E279">
        <f t="shared" ca="1" si="32"/>
        <v>3864.6382501386925</v>
      </c>
    </row>
    <row r="280" spans="2:5" x14ac:dyDescent="0.2">
      <c r="B280" s="156">
        <f t="shared" si="33"/>
        <v>205</v>
      </c>
      <c r="C280">
        <f t="shared" ca="1" si="30"/>
        <v>15636.44816645854</v>
      </c>
      <c r="D280">
        <f t="shared" ca="1" si="31"/>
        <v>11479.788270257613</v>
      </c>
      <c r="E280">
        <f t="shared" ca="1" si="32"/>
        <v>4156.6598962009266</v>
      </c>
    </row>
    <row r="281" spans="2:5" x14ac:dyDescent="0.2">
      <c r="B281" s="156">
        <f t="shared" si="33"/>
        <v>206</v>
      </c>
      <c r="C281">
        <f t="shared" ca="1" si="30"/>
        <v>13087.886369378188</v>
      </c>
      <c r="D281">
        <f t="shared" ca="1" si="31"/>
        <v>12140.962298297793</v>
      </c>
      <c r="E281">
        <f t="shared" ca="1" si="32"/>
        <v>946.92407108039515</v>
      </c>
    </row>
    <row r="282" spans="2:5" x14ac:dyDescent="0.2">
      <c r="B282" s="156">
        <f t="shared" si="33"/>
        <v>207</v>
      </c>
      <c r="C282">
        <f t="shared" ca="1" si="30"/>
        <v>15286.043942624328</v>
      </c>
      <c r="D282">
        <f t="shared" ca="1" si="31"/>
        <v>10795.697541896197</v>
      </c>
      <c r="E282">
        <f t="shared" ca="1" si="32"/>
        <v>4490.3464007281309</v>
      </c>
    </row>
    <row r="283" spans="2:5" x14ac:dyDescent="0.2">
      <c r="B283" s="156">
        <f t="shared" si="33"/>
        <v>208</v>
      </c>
      <c r="C283">
        <f t="shared" ca="1" si="30"/>
        <v>14093.644147818326</v>
      </c>
      <c r="D283">
        <f t="shared" ca="1" si="31"/>
        <v>11168.803291939737</v>
      </c>
      <c r="E283">
        <f t="shared" ca="1" si="32"/>
        <v>2924.8408558785886</v>
      </c>
    </row>
    <row r="284" spans="2:5" x14ac:dyDescent="0.2">
      <c r="B284" s="156">
        <f t="shared" si="33"/>
        <v>209</v>
      </c>
      <c r="C284">
        <f t="shared" ca="1" si="30"/>
        <v>16043.769438208545</v>
      </c>
      <c r="D284">
        <f t="shared" ca="1" si="31"/>
        <v>11780.885798267791</v>
      </c>
      <c r="E284">
        <f t="shared" ca="1" si="32"/>
        <v>4262.8836399407537</v>
      </c>
    </row>
    <row r="285" spans="2:5" x14ac:dyDescent="0.2">
      <c r="B285" s="156">
        <f t="shared" si="33"/>
        <v>210</v>
      </c>
      <c r="C285">
        <f t="shared" ca="1" si="30"/>
        <v>13777.585824791791</v>
      </c>
      <c r="D285">
        <f t="shared" ca="1" si="31"/>
        <v>9184.4828928702718</v>
      </c>
      <c r="E285">
        <f t="shared" ca="1" si="32"/>
        <v>4593.1029319215195</v>
      </c>
    </row>
    <row r="286" spans="2:5" x14ac:dyDescent="0.2">
      <c r="B286" s="156">
        <f t="shared" si="33"/>
        <v>211</v>
      </c>
      <c r="C286">
        <f t="shared" ca="1" si="30"/>
        <v>14152.231330593702</v>
      </c>
      <c r="D286">
        <f t="shared" ca="1" si="31"/>
        <v>11556.534643165396</v>
      </c>
      <c r="E286">
        <f t="shared" ca="1" si="32"/>
        <v>2595.6966874283062</v>
      </c>
    </row>
    <row r="287" spans="2:5" x14ac:dyDescent="0.2">
      <c r="B287" s="156">
        <f t="shared" si="33"/>
        <v>212</v>
      </c>
      <c r="C287">
        <f t="shared" ca="1" si="30"/>
        <v>14153.493608828427</v>
      </c>
      <c r="D287">
        <f t="shared" ca="1" si="31"/>
        <v>12119.065867301484</v>
      </c>
      <c r="E287">
        <f t="shared" ca="1" si="32"/>
        <v>2034.4277415269426</v>
      </c>
    </row>
    <row r="288" spans="2:5" x14ac:dyDescent="0.2">
      <c r="B288" s="156">
        <f t="shared" si="33"/>
        <v>213</v>
      </c>
      <c r="C288">
        <f t="shared" ca="1" si="30"/>
        <v>13617.154007289082</v>
      </c>
      <c r="D288">
        <f t="shared" ca="1" si="31"/>
        <v>13433.845285697025</v>
      </c>
      <c r="E288">
        <f t="shared" ca="1" si="32"/>
        <v>183.30872159205683</v>
      </c>
    </row>
    <row r="289" spans="2:5" x14ac:dyDescent="0.2">
      <c r="B289" s="156">
        <f t="shared" si="33"/>
        <v>214</v>
      </c>
      <c r="C289">
        <f t="shared" ca="1" si="30"/>
        <v>13918.957570381728</v>
      </c>
      <c r="D289">
        <f t="shared" ca="1" si="31"/>
        <v>11186.364809695961</v>
      </c>
      <c r="E289">
        <f t="shared" ca="1" si="32"/>
        <v>2732.5927606857676</v>
      </c>
    </row>
    <row r="290" spans="2:5" x14ac:dyDescent="0.2">
      <c r="B290" s="156">
        <f t="shared" si="33"/>
        <v>215</v>
      </c>
      <c r="C290">
        <f t="shared" ca="1" si="30"/>
        <v>14907.991449314377</v>
      </c>
      <c r="D290">
        <f t="shared" ca="1" si="31"/>
        <v>13636.61588148462</v>
      </c>
      <c r="E290">
        <f t="shared" ca="1" si="32"/>
        <v>1271.3755678297566</v>
      </c>
    </row>
    <row r="291" spans="2:5" x14ac:dyDescent="0.2">
      <c r="B291" s="156">
        <f t="shared" si="33"/>
        <v>216</v>
      </c>
      <c r="C291">
        <f t="shared" ca="1" si="30"/>
        <v>14639.9236441659</v>
      </c>
      <c r="D291">
        <f t="shared" ca="1" si="31"/>
        <v>11332.894083187744</v>
      </c>
      <c r="E291">
        <f t="shared" ca="1" si="32"/>
        <v>3307.0295609781551</v>
      </c>
    </row>
    <row r="292" spans="2:5" x14ac:dyDescent="0.2">
      <c r="B292" s="156">
        <f t="shared" si="33"/>
        <v>217</v>
      </c>
      <c r="C292">
        <f t="shared" ca="1" si="30"/>
        <v>13018.734250589832</v>
      </c>
      <c r="D292">
        <f t="shared" ca="1" si="31"/>
        <v>12225.054062317555</v>
      </c>
      <c r="E292">
        <f t="shared" ca="1" si="32"/>
        <v>793.68018827227752</v>
      </c>
    </row>
    <row r="293" spans="2:5" x14ac:dyDescent="0.2">
      <c r="B293" s="156">
        <f t="shared" si="33"/>
        <v>218</v>
      </c>
      <c r="C293">
        <f t="shared" ca="1" si="30"/>
        <v>15342.605973705828</v>
      </c>
      <c r="D293">
        <f t="shared" ca="1" si="31"/>
        <v>11621.925175811952</v>
      </c>
      <c r="E293">
        <f t="shared" ca="1" si="32"/>
        <v>3720.6807978938759</v>
      </c>
    </row>
    <row r="294" spans="2:5" x14ac:dyDescent="0.2">
      <c r="B294" s="156">
        <f t="shared" si="33"/>
        <v>219</v>
      </c>
      <c r="C294">
        <f t="shared" ca="1" si="30"/>
        <v>14013.935277969911</v>
      </c>
      <c r="D294">
        <f t="shared" ca="1" si="31"/>
        <v>14035.016130729868</v>
      </c>
      <c r="E294">
        <f t="shared" ca="1" si="32"/>
        <v>-21.080852759956542</v>
      </c>
    </row>
    <row r="295" spans="2:5" x14ac:dyDescent="0.2">
      <c r="B295" s="156">
        <f t="shared" si="33"/>
        <v>220</v>
      </c>
      <c r="C295">
        <f t="shared" ca="1" si="30"/>
        <v>12382.27990723059</v>
      </c>
      <c r="D295">
        <f t="shared" ca="1" si="31"/>
        <v>12067.923861338008</v>
      </c>
      <c r="E295">
        <f t="shared" ca="1" si="32"/>
        <v>314.35604589258219</v>
      </c>
    </row>
    <row r="296" spans="2:5" x14ac:dyDescent="0.2">
      <c r="B296" s="156">
        <f t="shared" si="33"/>
        <v>221</v>
      </c>
      <c r="C296">
        <f t="shared" ca="1" si="30"/>
        <v>15716.850179416146</v>
      </c>
      <c r="D296">
        <f t="shared" ca="1" si="31"/>
        <v>12059.077243127529</v>
      </c>
      <c r="E296">
        <f t="shared" ca="1" si="32"/>
        <v>3657.7729362886166</v>
      </c>
    </row>
    <row r="297" spans="2:5" x14ac:dyDescent="0.2">
      <c r="B297" s="156">
        <f t="shared" si="33"/>
        <v>222</v>
      </c>
      <c r="C297">
        <f t="shared" ca="1" si="30"/>
        <v>15567.944022885484</v>
      </c>
      <c r="D297">
        <f t="shared" ca="1" si="31"/>
        <v>12255.949631674006</v>
      </c>
      <c r="E297">
        <f t="shared" ca="1" si="32"/>
        <v>3311.9943912114777</v>
      </c>
    </row>
    <row r="298" spans="2:5" x14ac:dyDescent="0.2">
      <c r="B298" s="156">
        <f t="shared" si="33"/>
        <v>223</v>
      </c>
      <c r="C298">
        <f t="shared" ca="1" si="30"/>
        <v>15339.587856771986</v>
      </c>
      <c r="D298">
        <f t="shared" ca="1" si="31"/>
        <v>12594.45031098463</v>
      </c>
      <c r="E298">
        <f t="shared" ca="1" si="32"/>
        <v>2745.1375457873564</v>
      </c>
    </row>
    <row r="299" spans="2:5" x14ac:dyDescent="0.2">
      <c r="B299" s="156">
        <f t="shared" si="33"/>
        <v>224</v>
      </c>
      <c r="C299">
        <f t="shared" ca="1" si="30"/>
        <v>14221.853504300783</v>
      </c>
      <c r="D299">
        <f t="shared" ca="1" si="31"/>
        <v>10232.833258694549</v>
      </c>
      <c r="E299">
        <f t="shared" ca="1" si="32"/>
        <v>3989.0202456062343</v>
      </c>
    </row>
    <row r="300" spans="2:5" x14ac:dyDescent="0.2">
      <c r="B300" s="156">
        <f t="shared" si="33"/>
        <v>225</v>
      </c>
      <c r="C300">
        <f t="shared" ca="1" si="30"/>
        <v>13721.492141295721</v>
      </c>
      <c r="D300">
        <f t="shared" ca="1" si="31"/>
        <v>11661.249526506832</v>
      </c>
      <c r="E300">
        <f t="shared" ca="1" si="32"/>
        <v>2060.2426147888891</v>
      </c>
    </row>
    <row r="301" spans="2:5" x14ac:dyDescent="0.2">
      <c r="B301" s="156">
        <f t="shared" si="33"/>
        <v>226</v>
      </c>
      <c r="C301">
        <f t="shared" ca="1" si="30"/>
        <v>14703.429171016418</v>
      </c>
      <c r="D301">
        <f t="shared" ca="1" si="31"/>
        <v>12221.95636539955</v>
      </c>
      <c r="E301">
        <f t="shared" ca="1" si="32"/>
        <v>2481.4728056168678</v>
      </c>
    </row>
    <row r="302" spans="2:5" x14ac:dyDescent="0.2">
      <c r="B302" s="156">
        <f t="shared" si="33"/>
        <v>227</v>
      </c>
      <c r="C302">
        <f t="shared" ca="1" si="30"/>
        <v>11720.801174341334</v>
      </c>
      <c r="D302">
        <f t="shared" ca="1" si="31"/>
        <v>10419.897815177243</v>
      </c>
      <c r="E302">
        <f t="shared" ca="1" si="32"/>
        <v>1300.9033591640909</v>
      </c>
    </row>
    <row r="303" spans="2:5" x14ac:dyDescent="0.2">
      <c r="B303" s="156">
        <f t="shared" si="33"/>
        <v>228</v>
      </c>
      <c r="C303">
        <f t="shared" ca="1" si="30"/>
        <v>19289.650310164077</v>
      </c>
      <c r="D303">
        <f t="shared" ca="1" si="31"/>
        <v>12670.847100128218</v>
      </c>
      <c r="E303">
        <f t="shared" ca="1" si="32"/>
        <v>6618.8032100358596</v>
      </c>
    </row>
    <row r="304" spans="2:5" x14ac:dyDescent="0.2">
      <c r="B304" s="156">
        <f t="shared" si="33"/>
        <v>229</v>
      </c>
      <c r="C304">
        <f t="shared" ca="1" si="30"/>
        <v>15805.735556138718</v>
      </c>
      <c r="D304">
        <f t="shared" ca="1" si="31"/>
        <v>13941.353616226292</v>
      </c>
      <c r="E304">
        <f t="shared" ca="1" si="32"/>
        <v>1864.3819399124259</v>
      </c>
    </row>
    <row r="305" spans="2:5" x14ac:dyDescent="0.2">
      <c r="B305" s="156">
        <f t="shared" si="33"/>
        <v>230</v>
      </c>
      <c r="C305">
        <f t="shared" ca="1" si="30"/>
        <v>16402.353625636573</v>
      </c>
      <c r="D305">
        <f t="shared" ca="1" si="31"/>
        <v>10633.406756659457</v>
      </c>
      <c r="E305">
        <f t="shared" ca="1" si="32"/>
        <v>5768.9468689771165</v>
      </c>
    </row>
    <row r="306" spans="2:5" x14ac:dyDescent="0.2">
      <c r="B306" s="156">
        <f t="shared" si="33"/>
        <v>231</v>
      </c>
      <c r="C306">
        <f t="shared" ca="1" si="30"/>
        <v>16072.191557146143</v>
      </c>
      <c r="D306">
        <f t="shared" ca="1" si="31"/>
        <v>11582.220001626862</v>
      </c>
      <c r="E306">
        <f t="shared" ca="1" si="32"/>
        <v>4489.9715555192815</v>
      </c>
    </row>
    <row r="307" spans="2:5" x14ac:dyDescent="0.2">
      <c r="B307" s="156">
        <f t="shared" si="33"/>
        <v>232</v>
      </c>
      <c r="C307">
        <f t="shared" ca="1" si="30"/>
        <v>16551.151490496628</v>
      </c>
      <c r="D307">
        <f t="shared" ca="1" si="31"/>
        <v>12294.458741139628</v>
      </c>
      <c r="E307">
        <f t="shared" ca="1" si="32"/>
        <v>4256.6927493570001</v>
      </c>
    </row>
    <row r="308" spans="2:5" x14ac:dyDescent="0.2">
      <c r="B308" s="156">
        <f t="shared" si="33"/>
        <v>233</v>
      </c>
      <c r="C308">
        <f t="shared" ca="1" si="30"/>
        <v>16108.996152046322</v>
      </c>
      <c r="D308">
        <f t="shared" ca="1" si="31"/>
        <v>11954.449809072963</v>
      </c>
      <c r="E308">
        <f t="shared" ca="1" si="32"/>
        <v>4154.5463429733591</v>
      </c>
    </row>
    <row r="309" spans="2:5" x14ac:dyDescent="0.2">
      <c r="B309" s="156">
        <f t="shared" si="33"/>
        <v>234</v>
      </c>
      <c r="C309">
        <f t="shared" ca="1" si="30"/>
        <v>14528.525808245806</v>
      </c>
      <c r="D309">
        <f t="shared" ca="1" si="31"/>
        <v>10732.2264532227</v>
      </c>
      <c r="E309">
        <f t="shared" ca="1" si="32"/>
        <v>3796.2993550231058</v>
      </c>
    </row>
    <row r="310" spans="2:5" x14ac:dyDescent="0.2">
      <c r="B310" s="156">
        <f t="shared" si="33"/>
        <v>235</v>
      </c>
      <c r="C310">
        <f t="shared" ca="1" si="30"/>
        <v>15955.511997696867</v>
      </c>
      <c r="D310">
        <f t="shared" ca="1" si="31"/>
        <v>12281.634340320334</v>
      </c>
      <c r="E310">
        <f t="shared" ca="1" si="32"/>
        <v>3673.8776573765335</v>
      </c>
    </row>
    <row r="311" spans="2:5" x14ac:dyDescent="0.2">
      <c r="B311" s="156">
        <f t="shared" si="33"/>
        <v>236</v>
      </c>
      <c r="C311">
        <f t="shared" ca="1" si="30"/>
        <v>14166.731933605535</v>
      </c>
      <c r="D311">
        <f t="shared" ca="1" si="31"/>
        <v>12958.576384412405</v>
      </c>
      <c r="E311">
        <f t="shared" ca="1" si="32"/>
        <v>1208.1555491931304</v>
      </c>
    </row>
    <row r="312" spans="2:5" x14ac:dyDescent="0.2">
      <c r="B312" s="156">
        <f t="shared" si="33"/>
        <v>237</v>
      </c>
      <c r="C312">
        <f t="shared" ca="1" si="30"/>
        <v>14362.813820405408</v>
      </c>
      <c r="D312">
        <f t="shared" ca="1" si="31"/>
        <v>12338.173680582813</v>
      </c>
      <c r="E312">
        <f t="shared" ca="1" si="32"/>
        <v>2024.6401398225953</v>
      </c>
    </row>
    <row r="313" spans="2:5" x14ac:dyDescent="0.2">
      <c r="B313" s="156">
        <f t="shared" si="33"/>
        <v>238</v>
      </c>
      <c r="C313">
        <f t="shared" ca="1" si="30"/>
        <v>14073.83238414263</v>
      </c>
      <c r="D313">
        <f t="shared" ca="1" si="31"/>
        <v>10401.90379448056</v>
      </c>
      <c r="E313">
        <f t="shared" ca="1" si="32"/>
        <v>3671.9285896620695</v>
      </c>
    </row>
    <row r="314" spans="2:5" x14ac:dyDescent="0.2">
      <c r="B314" s="156">
        <f t="shared" si="33"/>
        <v>239</v>
      </c>
      <c r="C314">
        <f t="shared" ca="1" si="30"/>
        <v>15552.270843860466</v>
      </c>
      <c r="D314">
        <f t="shared" ca="1" si="31"/>
        <v>12348.813237661527</v>
      </c>
      <c r="E314">
        <f t="shared" ca="1" si="32"/>
        <v>3203.4576061989392</v>
      </c>
    </row>
    <row r="315" spans="2:5" x14ac:dyDescent="0.2">
      <c r="B315" s="156">
        <f t="shared" si="33"/>
        <v>240</v>
      </c>
      <c r="C315">
        <f t="shared" ca="1" si="30"/>
        <v>15586.542429516969</v>
      </c>
      <c r="D315">
        <f t="shared" ca="1" si="31"/>
        <v>11203.519155497499</v>
      </c>
      <c r="E315">
        <f t="shared" ca="1" si="32"/>
        <v>4383.0232740194697</v>
      </c>
    </row>
    <row r="316" spans="2:5" x14ac:dyDescent="0.2">
      <c r="B316" s="156">
        <f t="shared" si="33"/>
        <v>241</v>
      </c>
      <c r="C316">
        <f t="shared" ca="1" si="30"/>
        <v>15840.722842403507</v>
      </c>
      <c r="D316">
        <f t="shared" ca="1" si="31"/>
        <v>11752.934844591486</v>
      </c>
      <c r="E316">
        <f t="shared" ca="1" si="32"/>
        <v>4087.7879978120218</v>
      </c>
    </row>
    <row r="317" spans="2:5" x14ac:dyDescent="0.2">
      <c r="B317" s="156">
        <f t="shared" si="33"/>
        <v>242</v>
      </c>
      <c r="C317">
        <f t="shared" ca="1" si="30"/>
        <v>16546.628624869023</v>
      </c>
      <c r="D317">
        <f t="shared" ca="1" si="31"/>
        <v>11819.324948326623</v>
      </c>
      <c r="E317">
        <f t="shared" ca="1" si="32"/>
        <v>4727.3036765424004</v>
      </c>
    </row>
    <row r="318" spans="2:5" x14ac:dyDescent="0.2">
      <c r="B318" s="156">
        <f t="shared" si="33"/>
        <v>243</v>
      </c>
      <c r="C318">
        <f t="shared" ca="1" si="30"/>
        <v>14582.305145188147</v>
      </c>
      <c r="D318">
        <f t="shared" ca="1" si="31"/>
        <v>11892.979071801683</v>
      </c>
      <c r="E318">
        <f t="shared" ca="1" si="32"/>
        <v>2689.3260733864645</v>
      </c>
    </row>
    <row r="319" spans="2:5" x14ac:dyDescent="0.2">
      <c r="B319" s="156">
        <f t="shared" si="33"/>
        <v>244</v>
      </c>
      <c r="C319">
        <f t="shared" ca="1" si="30"/>
        <v>15391.131420223785</v>
      </c>
      <c r="D319">
        <f t="shared" ca="1" si="31"/>
        <v>11562.58465107042</v>
      </c>
      <c r="E319">
        <f t="shared" ca="1" si="32"/>
        <v>3828.5467691533649</v>
      </c>
    </row>
    <row r="320" spans="2:5" x14ac:dyDescent="0.2">
      <c r="B320" s="156">
        <f t="shared" si="33"/>
        <v>245</v>
      </c>
      <c r="C320">
        <f t="shared" ca="1" si="30"/>
        <v>13560.224395384816</v>
      </c>
      <c r="D320">
        <f t="shared" ca="1" si="31"/>
        <v>11343.426721938311</v>
      </c>
      <c r="E320">
        <f t="shared" ca="1" si="32"/>
        <v>2216.7976734465046</v>
      </c>
    </row>
    <row r="321" spans="2:5" x14ac:dyDescent="0.2">
      <c r="B321" s="156">
        <f t="shared" si="33"/>
        <v>246</v>
      </c>
      <c r="C321">
        <f t="shared" ca="1" si="30"/>
        <v>15889.719785752808</v>
      </c>
      <c r="D321">
        <f t="shared" ca="1" si="31"/>
        <v>13037.721932247016</v>
      </c>
      <c r="E321">
        <f t="shared" ca="1" si="32"/>
        <v>2851.9978535057926</v>
      </c>
    </row>
    <row r="322" spans="2:5" x14ac:dyDescent="0.2">
      <c r="B322" s="156">
        <f t="shared" si="33"/>
        <v>247</v>
      </c>
      <c r="C322">
        <f t="shared" ca="1" si="30"/>
        <v>16157.082913344655</v>
      </c>
      <c r="D322">
        <f t="shared" ca="1" si="31"/>
        <v>13181.743425505589</v>
      </c>
      <c r="E322">
        <f t="shared" ca="1" si="32"/>
        <v>2975.3394878390664</v>
      </c>
    </row>
    <row r="323" spans="2:5" x14ac:dyDescent="0.2">
      <c r="B323" s="156">
        <f t="shared" si="33"/>
        <v>248</v>
      </c>
      <c r="C323">
        <f t="shared" ca="1" si="30"/>
        <v>11428.128182711809</v>
      </c>
      <c r="D323">
        <f t="shared" ca="1" si="31"/>
        <v>11200.805009258414</v>
      </c>
      <c r="E323">
        <f t="shared" ca="1" si="32"/>
        <v>227.3231734533947</v>
      </c>
    </row>
    <row r="324" spans="2:5" x14ac:dyDescent="0.2">
      <c r="B324" s="156">
        <f t="shared" si="33"/>
        <v>249</v>
      </c>
      <c r="C324">
        <f t="shared" ca="1" si="30"/>
        <v>13914.018001194992</v>
      </c>
      <c r="D324">
        <f t="shared" ca="1" si="31"/>
        <v>11589.757569081226</v>
      </c>
      <c r="E324">
        <f t="shared" ca="1" si="32"/>
        <v>2324.260432113766</v>
      </c>
    </row>
    <row r="325" spans="2:5" x14ac:dyDescent="0.2">
      <c r="B325" s="156">
        <f t="shared" si="33"/>
        <v>250</v>
      </c>
      <c r="C325">
        <f t="shared" ca="1" si="30"/>
        <v>15754.18411358075</v>
      </c>
      <c r="D325">
        <f t="shared" ca="1" si="31"/>
        <v>11703.202449605087</v>
      </c>
      <c r="E325">
        <f t="shared" ca="1" si="32"/>
        <v>4050.9816639756627</v>
      </c>
    </row>
    <row r="326" spans="2:5" x14ac:dyDescent="0.2">
      <c r="B326" s="156">
        <f t="shared" si="33"/>
        <v>251</v>
      </c>
      <c r="C326">
        <f t="shared" ca="1" si="30"/>
        <v>13552.506879354061</v>
      </c>
      <c r="D326">
        <f t="shared" ca="1" si="31"/>
        <v>13822.443380907516</v>
      </c>
      <c r="E326">
        <f t="shared" ca="1" si="32"/>
        <v>-269.93650155345495</v>
      </c>
    </row>
    <row r="327" spans="2:5" x14ac:dyDescent="0.2">
      <c r="B327" s="156">
        <f t="shared" si="33"/>
        <v>252</v>
      </c>
      <c r="C327">
        <f t="shared" ca="1" si="30"/>
        <v>18664.945013277546</v>
      </c>
      <c r="D327">
        <f t="shared" ca="1" si="31"/>
        <v>13365.800968020651</v>
      </c>
      <c r="E327">
        <f t="shared" ca="1" si="32"/>
        <v>5299.144045256895</v>
      </c>
    </row>
    <row r="328" spans="2:5" x14ac:dyDescent="0.2">
      <c r="B328" s="156">
        <f t="shared" si="33"/>
        <v>253</v>
      </c>
      <c r="C328">
        <f t="shared" ca="1" si="30"/>
        <v>12408.765136353826</v>
      </c>
      <c r="D328">
        <f t="shared" ca="1" si="31"/>
        <v>13079.37914893117</v>
      </c>
      <c r="E328">
        <f t="shared" ca="1" si="32"/>
        <v>-670.6140125773436</v>
      </c>
    </row>
    <row r="329" spans="2:5" x14ac:dyDescent="0.2">
      <c r="B329" s="156">
        <f t="shared" si="33"/>
        <v>254</v>
      </c>
      <c r="C329">
        <f t="shared" ca="1" si="30"/>
        <v>14587.740222497334</v>
      </c>
      <c r="D329">
        <f t="shared" ca="1" si="31"/>
        <v>11280.949094753429</v>
      </c>
      <c r="E329">
        <f t="shared" ca="1" si="32"/>
        <v>3306.7911277439052</v>
      </c>
    </row>
    <row r="330" spans="2:5" x14ac:dyDescent="0.2">
      <c r="B330" s="156">
        <f t="shared" si="33"/>
        <v>255</v>
      </c>
      <c r="C330">
        <f t="shared" ca="1" si="30"/>
        <v>13916.673356365494</v>
      </c>
      <c r="D330">
        <f t="shared" ca="1" si="31"/>
        <v>10635.2100352303</v>
      </c>
      <c r="E330">
        <f t="shared" ca="1" si="32"/>
        <v>3281.4633211351938</v>
      </c>
    </row>
    <row r="331" spans="2:5" x14ac:dyDescent="0.2">
      <c r="B331" s="156">
        <f t="shared" si="33"/>
        <v>256</v>
      </c>
      <c r="C331">
        <f t="shared" ca="1" si="30"/>
        <v>13547.801184735257</v>
      </c>
      <c r="D331">
        <f t="shared" ca="1" si="31"/>
        <v>13951.35252246348</v>
      </c>
      <c r="E331">
        <f t="shared" ca="1" si="32"/>
        <v>-403.55133772822228</v>
      </c>
    </row>
    <row r="332" spans="2:5" x14ac:dyDescent="0.2">
      <c r="B332" s="156">
        <f t="shared" si="33"/>
        <v>257</v>
      </c>
      <c r="C332">
        <f t="shared" ca="1" si="30"/>
        <v>16462.40059645888</v>
      </c>
      <c r="D332">
        <f t="shared" ca="1" si="31"/>
        <v>10823.405688597502</v>
      </c>
      <c r="E332">
        <f t="shared" ca="1" si="32"/>
        <v>5638.9949078613772</v>
      </c>
    </row>
    <row r="333" spans="2:5" x14ac:dyDescent="0.2">
      <c r="B333" s="156">
        <f t="shared" si="33"/>
        <v>258</v>
      </c>
      <c r="C333">
        <f t="shared" ref="C333:C396" ca="1" si="34">$C$70*(1+_xlfn.NORM.S.INV(RAND())*$C$72)</f>
        <v>11440.028950524449</v>
      </c>
      <c r="D333">
        <f t="shared" ref="D333:D396" ca="1" si="35">$C$71*(1+_xlfn.NORM.S.INV(RAND())*$C$73)</f>
        <v>10558.693294036817</v>
      </c>
      <c r="E333">
        <f t="shared" ref="E333:E396" ca="1" si="36">C333-D333</f>
        <v>881.33565648763215</v>
      </c>
    </row>
    <row r="334" spans="2:5" x14ac:dyDescent="0.2">
      <c r="B334" s="156">
        <f t="shared" ref="B334:B397" si="37">B333+1</f>
        <v>259</v>
      </c>
      <c r="C334">
        <f t="shared" ca="1" si="34"/>
        <v>13315.231077994848</v>
      </c>
      <c r="D334">
        <f t="shared" ca="1" si="35"/>
        <v>11522.190560479823</v>
      </c>
      <c r="E334">
        <f t="shared" ca="1" si="36"/>
        <v>1793.0405175150245</v>
      </c>
    </row>
    <row r="335" spans="2:5" x14ac:dyDescent="0.2">
      <c r="B335" s="156">
        <f t="shared" si="37"/>
        <v>260</v>
      </c>
      <c r="C335">
        <f t="shared" ca="1" si="34"/>
        <v>13936.276723136258</v>
      </c>
      <c r="D335">
        <f t="shared" ca="1" si="35"/>
        <v>12178.962033858446</v>
      </c>
      <c r="E335">
        <f t="shared" ca="1" si="36"/>
        <v>1757.3146892778113</v>
      </c>
    </row>
    <row r="336" spans="2:5" x14ac:dyDescent="0.2">
      <c r="B336" s="156">
        <f t="shared" si="37"/>
        <v>261</v>
      </c>
      <c r="C336">
        <f t="shared" ca="1" si="34"/>
        <v>11472.046548461809</v>
      </c>
      <c r="D336">
        <f t="shared" ca="1" si="35"/>
        <v>9562.034972832118</v>
      </c>
      <c r="E336">
        <f t="shared" ca="1" si="36"/>
        <v>1910.0115756296909</v>
      </c>
    </row>
    <row r="337" spans="2:5" x14ac:dyDescent="0.2">
      <c r="B337" s="156">
        <f t="shared" si="37"/>
        <v>262</v>
      </c>
      <c r="C337">
        <f t="shared" ca="1" si="34"/>
        <v>17999.560189165986</v>
      </c>
      <c r="D337">
        <f t="shared" ca="1" si="35"/>
        <v>12160.588264572043</v>
      </c>
      <c r="E337">
        <f t="shared" ca="1" si="36"/>
        <v>5838.9719245939432</v>
      </c>
    </row>
    <row r="338" spans="2:5" x14ac:dyDescent="0.2">
      <c r="B338" s="156">
        <f t="shared" si="37"/>
        <v>263</v>
      </c>
      <c r="C338">
        <f t="shared" ca="1" si="34"/>
        <v>13506.879852939204</v>
      </c>
      <c r="D338">
        <f t="shared" ca="1" si="35"/>
        <v>12438.562575639036</v>
      </c>
      <c r="E338">
        <f t="shared" ca="1" si="36"/>
        <v>1068.3172773001679</v>
      </c>
    </row>
    <row r="339" spans="2:5" x14ac:dyDescent="0.2">
      <c r="B339" s="156">
        <f t="shared" si="37"/>
        <v>264</v>
      </c>
      <c r="C339">
        <f t="shared" ca="1" si="34"/>
        <v>17661.378522394592</v>
      </c>
      <c r="D339">
        <f t="shared" ca="1" si="35"/>
        <v>12297.537269957731</v>
      </c>
      <c r="E339">
        <f t="shared" ca="1" si="36"/>
        <v>5363.8412524368614</v>
      </c>
    </row>
    <row r="340" spans="2:5" x14ac:dyDescent="0.2">
      <c r="B340" s="156">
        <f t="shared" si="37"/>
        <v>265</v>
      </c>
      <c r="C340">
        <f t="shared" ca="1" si="34"/>
        <v>15246.028403589627</v>
      </c>
      <c r="D340">
        <f t="shared" ca="1" si="35"/>
        <v>9805.7791713246716</v>
      </c>
      <c r="E340">
        <f t="shared" ca="1" si="36"/>
        <v>5440.2492322649559</v>
      </c>
    </row>
    <row r="341" spans="2:5" x14ac:dyDescent="0.2">
      <c r="B341" s="156">
        <f t="shared" si="37"/>
        <v>266</v>
      </c>
      <c r="C341">
        <f t="shared" ca="1" si="34"/>
        <v>15303.779885381826</v>
      </c>
      <c r="D341">
        <f t="shared" ca="1" si="35"/>
        <v>12181.349969227484</v>
      </c>
      <c r="E341">
        <f t="shared" ca="1" si="36"/>
        <v>3122.4299161543422</v>
      </c>
    </row>
    <row r="342" spans="2:5" x14ac:dyDescent="0.2">
      <c r="B342" s="156">
        <f t="shared" si="37"/>
        <v>267</v>
      </c>
      <c r="C342">
        <f t="shared" ca="1" si="34"/>
        <v>13128.721275959133</v>
      </c>
      <c r="D342">
        <f t="shared" ca="1" si="35"/>
        <v>11696.146119166719</v>
      </c>
      <c r="E342">
        <f t="shared" ca="1" si="36"/>
        <v>1432.5751567924144</v>
      </c>
    </row>
    <row r="343" spans="2:5" x14ac:dyDescent="0.2">
      <c r="B343" s="156">
        <f t="shared" si="37"/>
        <v>268</v>
      </c>
      <c r="C343">
        <f t="shared" ca="1" si="34"/>
        <v>14065.165886244493</v>
      </c>
      <c r="D343">
        <f t="shared" ca="1" si="35"/>
        <v>11316.801090570249</v>
      </c>
      <c r="E343">
        <f t="shared" ca="1" si="36"/>
        <v>2748.3647956742443</v>
      </c>
    </row>
    <row r="344" spans="2:5" x14ac:dyDescent="0.2">
      <c r="B344" s="156">
        <f t="shared" si="37"/>
        <v>269</v>
      </c>
      <c r="C344">
        <f t="shared" ca="1" si="34"/>
        <v>14517.301994855236</v>
      </c>
      <c r="D344">
        <f t="shared" ca="1" si="35"/>
        <v>12081.906620180742</v>
      </c>
      <c r="E344">
        <f t="shared" ca="1" si="36"/>
        <v>2435.3953746744937</v>
      </c>
    </row>
    <row r="345" spans="2:5" x14ac:dyDescent="0.2">
      <c r="B345" s="156">
        <f t="shared" si="37"/>
        <v>270</v>
      </c>
      <c r="C345">
        <f t="shared" ca="1" si="34"/>
        <v>18008.684521933101</v>
      </c>
      <c r="D345">
        <f t="shared" ca="1" si="35"/>
        <v>12319.500225648326</v>
      </c>
      <c r="E345">
        <f t="shared" ca="1" si="36"/>
        <v>5689.184296284775</v>
      </c>
    </row>
    <row r="346" spans="2:5" x14ac:dyDescent="0.2">
      <c r="B346" s="156">
        <f t="shared" si="37"/>
        <v>271</v>
      </c>
      <c r="C346">
        <f t="shared" ca="1" si="34"/>
        <v>14372.186501486496</v>
      </c>
      <c r="D346">
        <f t="shared" ca="1" si="35"/>
        <v>13475.54933725284</v>
      </c>
      <c r="E346">
        <f t="shared" ca="1" si="36"/>
        <v>896.63716423365622</v>
      </c>
    </row>
    <row r="347" spans="2:5" x14ac:dyDescent="0.2">
      <c r="B347" s="156">
        <f t="shared" si="37"/>
        <v>272</v>
      </c>
      <c r="C347">
        <f t="shared" ca="1" si="34"/>
        <v>15952.463367001477</v>
      </c>
      <c r="D347">
        <f t="shared" ca="1" si="35"/>
        <v>10124.373341281869</v>
      </c>
      <c r="E347">
        <f t="shared" ca="1" si="36"/>
        <v>5828.0900257196081</v>
      </c>
    </row>
    <row r="348" spans="2:5" x14ac:dyDescent="0.2">
      <c r="B348" s="156">
        <f t="shared" si="37"/>
        <v>273</v>
      </c>
      <c r="C348">
        <f t="shared" ca="1" si="34"/>
        <v>12727.267288015239</v>
      </c>
      <c r="D348">
        <f t="shared" ca="1" si="35"/>
        <v>12118.465109345379</v>
      </c>
      <c r="E348">
        <f t="shared" ca="1" si="36"/>
        <v>608.80217866985913</v>
      </c>
    </row>
    <row r="349" spans="2:5" x14ac:dyDescent="0.2">
      <c r="B349" s="156">
        <f t="shared" si="37"/>
        <v>274</v>
      </c>
      <c r="C349">
        <f t="shared" ca="1" si="34"/>
        <v>14083.333803852178</v>
      </c>
      <c r="D349">
        <f t="shared" ca="1" si="35"/>
        <v>13035.938711364695</v>
      </c>
      <c r="E349">
        <f t="shared" ca="1" si="36"/>
        <v>1047.3950924874825</v>
      </c>
    </row>
    <row r="350" spans="2:5" x14ac:dyDescent="0.2">
      <c r="B350" s="156">
        <f t="shared" si="37"/>
        <v>275</v>
      </c>
      <c r="C350">
        <f t="shared" ca="1" si="34"/>
        <v>15668.309633695746</v>
      </c>
      <c r="D350">
        <f t="shared" ca="1" si="35"/>
        <v>12221.350168686873</v>
      </c>
      <c r="E350">
        <f t="shared" ca="1" si="36"/>
        <v>3446.9594650088729</v>
      </c>
    </row>
    <row r="351" spans="2:5" x14ac:dyDescent="0.2">
      <c r="B351" s="156">
        <f t="shared" si="37"/>
        <v>276</v>
      </c>
      <c r="C351">
        <f t="shared" ca="1" si="34"/>
        <v>13809.80548292309</v>
      </c>
      <c r="D351">
        <f t="shared" ca="1" si="35"/>
        <v>12919.956263558237</v>
      </c>
      <c r="E351">
        <f t="shared" ca="1" si="36"/>
        <v>889.84921936485262</v>
      </c>
    </row>
    <row r="352" spans="2:5" x14ac:dyDescent="0.2">
      <c r="B352" s="156">
        <f t="shared" si="37"/>
        <v>277</v>
      </c>
      <c r="C352">
        <f t="shared" ca="1" si="34"/>
        <v>12962.689923061742</v>
      </c>
      <c r="D352">
        <f t="shared" ca="1" si="35"/>
        <v>12469.617556034</v>
      </c>
      <c r="E352">
        <f t="shared" ca="1" si="36"/>
        <v>493.07236702774208</v>
      </c>
    </row>
    <row r="353" spans="2:5" x14ac:dyDescent="0.2">
      <c r="B353" s="156">
        <f t="shared" si="37"/>
        <v>278</v>
      </c>
      <c r="C353">
        <f t="shared" ca="1" si="34"/>
        <v>14258.979439227511</v>
      </c>
      <c r="D353">
        <f t="shared" ca="1" si="35"/>
        <v>13996.842993060733</v>
      </c>
      <c r="E353">
        <f t="shared" ca="1" si="36"/>
        <v>262.13644616677811</v>
      </c>
    </row>
    <row r="354" spans="2:5" x14ac:dyDescent="0.2">
      <c r="B354" s="156">
        <f t="shared" si="37"/>
        <v>279</v>
      </c>
      <c r="C354">
        <f t="shared" ca="1" si="34"/>
        <v>13739.20416743313</v>
      </c>
      <c r="D354">
        <f t="shared" ca="1" si="35"/>
        <v>13745.529283984863</v>
      </c>
      <c r="E354">
        <f t="shared" ca="1" si="36"/>
        <v>-6.3251165517322079</v>
      </c>
    </row>
    <row r="355" spans="2:5" x14ac:dyDescent="0.2">
      <c r="B355" s="156">
        <f t="shared" si="37"/>
        <v>280</v>
      </c>
      <c r="C355">
        <f t="shared" ca="1" si="34"/>
        <v>13266.31525796142</v>
      </c>
      <c r="D355">
        <f t="shared" ca="1" si="35"/>
        <v>10406.671900369112</v>
      </c>
      <c r="E355">
        <f t="shared" ca="1" si="36"/>
        <v>2859.6433575923074</v>
      </c>
    </row>
    <row r="356" spans="2:5" x14ac:dyDescent="0.2">
      <c r="B356" s="156">
        <f t="shared" si="37"/>
        <v>281</v>
      </c>
      <c r="C356">
        <f t="shared" ca="1" si="34"/>
        <v>13346.986137116892</v>
      </c>
      <c r="D356">
        <f t="shared" ca="1" si="35"/>
        <v>12171.225150616268</v>
      </c>
      <c r="E356">
        <f t="shared" ca="1" si="36"/>
        <v>1175.7609865006234</v>
      </c>
    </row>
    <row r="357" spans="2:5" x14ac:dyDescent="0.2">
      <c r="B357" s="156">
        <f t="shared" si="37"/>
        <v>282</v>
      </c>
      <c r="C357">
        <f t="shared" ca="1" si="34"/>
        <v>13922.257381019603</v>
      </c>
      <c r="D357">
        <f t="shared" ca="1" si="35"/>
        <v>13380.938126450063</v>
      </c>
      <c r="E357">
        <f t="shared" ca="1" si="36"/>
        <v>541.31925456954013</v>
      </c>
    </row>
    <row r="358" spans="2:5" x14ac:dyDescent="0.2">
      <c r="B358" s="156">
        <f t="shared" si="37"/>
        <v>283</v>
      </c>
      <c r="C358">
        <f t="shared" ca="1" si="34"/>
        <v>16541.218732478388</v>
      </c>
      <c r="D358">
        <f t="shared" ca="1" si="35"/>
        <v>11697.447919350798</v>
      </c>
      <c r="E358">
        <f t="shared" ca="1" si="36"/>
        <v>4843.7708131275904</v>
      </c>
    </row>
    <row r="359" spans="2:5" x14ac:dyDescent="0.2">
      <c r="B359" s="156">
        <f t="shared" si="37"/>
        <v>284</v>
      </c>
      <c r="C359">
        <f t="shared" ca="1" si="34"/>
        <v>15818.341358924528</v>
      </c>
      <c r="D359">
        <f t="shared" ca="1" si="35"/>
        <v>11032.696683046976</v>
      </c>
      <c r="E359">
        <f t="shared" ca="1" si="36"/>
        <v>4785.6446758775528</v>
      </c>
    </row>
    <row r="360" spans="2:5" x14ac:dyDescent="0.2">
      <c r="B360" s="156">
        <f t="shared" si="37"/>
        <v>285</v>
      </c>
      <c r="C360">
        <f t="shared" ca="1" si="34"/>
        <v>12150.764190301372</v>
      </c>
      <c r="D360">
        <f t="shared" ca="1" si="35"/>
        <v>10973.402010991351</v>
      </c>
      <c r="E360">
        <f t="shared" ca="1" si="36"/>
        <v>1177.362179310021</v>
      </c>
    </row>
    <row r="361" spans="2:5" x14ac:dyDescent="0.2">
      <c r="B361" s="156">
        <f t="shared" si="37"/>
        <v>286</v>
      </c>
      <c r="C361">
        <f t="shared" ca="1" si="34"/>
        <v>13963.829957648513</v>
      </c>
      <c r="D361">
        <f t="shared" ca="1" si="35"/>
        <v>13029.451107087105</v>
      </c>
      <c r="E361">
        <f t="shared" ca="1" si="36"/>
        <v>934.3788505614084</v>
      </c>
    </row>
    <row r="362" spans="2:5" x14ac:dyDescent="0.2">
      <c r="B362" s="156">
        <f t="shared" si="37"/>
        <v>287</v>
      </c>
      <c r="C362">
        <f t="shared" ca="1" si="34"/>
        <v>11962.730490004999</v>
      </c>
      <c r="D362">
        <f t="shared" ca="1" si="35"/>
        <v>13363.242678647499</v>
      </c>
      <c r="E362">
        <f t="shared" ca="1" si="36"/>
        <v>-1400.5121886425004</v>
      </c>
    </row>
    <row r="363" spans="2:5" x14ac:dyDescent="0.2">
      <c r="B363" s="156">
        <f t="shared" si="37"/>
        <v>288</v>
      </c>
      <c r="C363">
        <f t="shared" ca="1" si="34"/>
        <v>16249.944651058026</v>
      </c>
      <c r="D363">
        <f t="shared" ca="1" si="35"/>
        <v>10274.730622208357</v>
      </c>
      <c r="E363">
        <f t="shared" ca="1" si="36"/>
        <v>5975.2140288496685</v>
      </c>
    </row>
    <row r="364" spans="2:5" x14ac:dyDescent="0.2">
      <c r="B364" s="156">
        <f t="shared" si="37"/>
        <v>289</v>
      </c>
      <c r="C364">
        <f t="shared" ca="1" si="34"/>
        <v>16120.465432219316</v>
      </c>
      <c r="D364">
        <f t="shared" ca="1" si="35"/>
        <v>12060.640266590784</v>
      </c>
      <c r="E364">
        <f t="shared" ca="1" si="36"/>
        <v>4059.825165628532</v>
      </c>
    </row>
    <row r="365" spans="2:5" x14ac:dyDescent="0.2">
      <c r="B365" s="156">
        <f t="shared" si="37"/>
        <v>290</v>
      </c>
      <c r="C365">
        <f t="shared" ca="1" si="34"/>
        <v>13761.192681890145</v>
      </c>
      <c r="D365">
        <f t="shared" ca="1" si="35"/>
        <v>11876.740210473661</v>
      </c>
      <c r="E365">
        <f t="shared" ca="1" si="36"/>
        <v>1884.4524714164836</v>
      </c>
    </row>
    <row r="366" spans="2:5" x14ac:dyDescent="0.2">
      <c r="B366" s="156">
        <f t="shared" si="37"/>
        <v>291</v>
      </c>
      <c r="C366">
        <f t="shared" ca="1" si="34"/>
        <v>11940.951609714697</v>
      </c>
      <c r="D366">
        <f t="shared" ca="1" si="35"/>
        <v>10284.013315855602</v>
      </c>
      <c r="E366">
        <f t="shared" ca="1" si="36"/>
        <v>1656.9382938590952</v>
      </c>
    </row>
    <row r="367" spans="2:5" x14ac:dyDescent="0.2">
      <c r="B367" s="156">
        <f t="shared" si="37"/>
        <v>292</v>
      </c>
      <c r="C367">
        <f t="shared" ca="1" si="34"/>
        <v>18052.799576840443</v>
      </c>
      <c r="D367">
        <f t="shared" ca="1" si="35"/>
        <v>11596.004356855736</v>
      </c>
      <c r="E367">
        <f t="shared" ca="1" si="36"/>
        <v>6456.7952199847077</v>
      </c>
    </row>
    <row r="368" spans="2:5" x14ac:dyDescent="0.2">
      <c r="B368" s="156">
        <f t="shared" si="37"/>
        <v>293</v>
      </c>
      <c r="C368">
        <f t="shared" ca="1" si="34"/>
        <v>17026.586865992285</v>
      </c>
      <c r="D368">
        <f t="shared" ca="1" si="35"/>
        <v>11478.859358382904</v>
      </c>
      <c r="E368">
        <f t="shared" ca="1" si="36"/>
        <v>5547.7275076093811</v>
      </c>
    </row>
    <row r="369" spans="2:5" x14ac:dyDescent="0.2">
      <c r="B369" s="156">
        <f t="shared" si="37"/>
        <v>294</v>
      </c>
      <c r="C369">
        <f t="shared" ca="1" si="34"/>
        <v>12631.242592245761</v>
      </c>
      <c r="D369">
        <f t="shared" ca="1" si="35"/>
        <v>11155.901913966556</v>
      </c>
      <c r="E369">
        <f t="shared" ca="1" si="36"/>
        <v>1475.3406782792044</v>
      </c>
    </row>
    <row r="370" spans="2:5" x14ac:dyDescent="0.2">
      <c r="B370" s="156">
        <f t="shared" si="37"/>
        <v>295</v>
      </c>
      <c r="C370">
        <f t="shared" ca="1" si="34"/>
        <v>11905.898788400629</v>
      </c>
      <c r="D370">
        <f t="shared" ca="1" si="35"/>
        <v>12427.55677496622</v>
      </c>
      <c r="E370">
        <f t="shared" ca="1" si="36"/>
        <v>-521.65798656559127</v>
      </c>
    </row>
    <row r="371" spans="2:5" x14ac:dyDescent="0.2">
      <c r="B371" s="156">
        <f t="shared" si="37"/>
        <v>296</v>
      </c>
      <c r="C371">
        <f t="shared" ca="1" si="34"/>
        <v>14843.345945792267</v>
      </c>
      <c r="D371">
        <f t="shared" ca="1" si="35"/>
        <v>12944.085767711436</v>
      </c>
      <c r="E371">
        <f t="shared" ca="1" si="36"/>
        <v>1899.2601780808309</v>
      </c>
    </row>
    <row r="372" spans="2:5" x14ac:dyDescent="0.2">
      <c r="B372" s="156">
        <f t="shared" si="37"/>
        <v>297</v>
      </c>
      <c r="C372">
        <f t="shared" ca="1" si="34"/>
        <v>14394.030545753989</v>
      </c>
      <c r="D372">
        <f t="shared" ca="1" si="35"/>
        <v>9321.7705227811493</v>
      </c>
      <c r="E372">
        <f t="shared" ca="1" si="36"/>
        <v>5072.2600229728396</v>
      </c>
    </row>
    <row r="373" spans="2:5" x14ac:dyDescent="0.2">
      <c r="B373" s="156">
        <f t="shared" si="37"/>
        <v>298</v>
      </c>
      <c r="C373">
        <f t="shared" ca="1" si="34"/>
        <v>15746.591548873645</v>
      </c>
      <c r="D373">
        <f t="shared" ca="1" si="35"/>
        <v>12181.262513589323</v>
      </c>
      <c r="E373">
        <f t="shared" ca="1" si="36"/>
        <v>3565.3290352843214</v>
      </c>
    </row>
    <row r="374" spans="2:5" x14ac:dyDescent="0.2">
      <c r="B374" s="156">
        <f t="shared" si="37"/>
        <v>299</v>
      </c>
      <c r="C374">
        <f t="shared" ca="1" si="34"/>
        <v>15349.997800503519</v>
      </c>
      <c r="D374">
        <f t="shared" ca="1" si="35"/>
        <v>12116.721363999673</v>
      </c>
      <c r="E374">
        <f t="shared" ca="1" si="36"/>
        <v>3233.2764365038456</v>
      </c>
    </row>
    <row r="375" spans="2:5" x14ac:dyDescent="0.2">
      <c r="B375" s="156">
        <f t="shared" si="37"/>
        <v>300</v>
      </c>
      <c r="C375">
        <f t="shared" ca="1" si="34"/>
        <v>15262.619480448206</v>
      </c>
      <c r="D375">
        <f t="shared" ca="1" si="35"/>
        <v>10447.827855711348</v>
      </c>
      <c r="E375">
        <f t="shared" ca="1" si="36"/>
        <v>4814.7916247368576</v>
      </c>
    </row>
    <row r="376" spans="2:5" x14ac:dyDescent="0.2">
      <c r="B376" s="156">
        <f t="shared" si="37"/>
        <v>301</v>
      </c>
      <c r="C376">
        <f t="shared" ca="1" si="34"/>
        <v>14608.055760820987</v>
      </c>
      <c r="D376">
        <f t="shared" ca="1" si="35"/>
        <v>13255.297386137527</v>
      </c>
      <c r="E376">
        <f t="shared" ca="1" si="36"/>
        <v>1352.7583746834607</v>
      </c>
    </row>
    <row r="377" spans="2:5" x14ac:dyDescent="0.2">
      <c r="B377" s="156">
        <f t="shared" si="37"/>
        <v>302</v>
      </c>
      <c r="C377">
        <f t="shared" ca="1" si="34"/>
        <v>15770.261089447353</v>
      </c>
      <c r="D377">
        <f t="shared" ca="1" si="35"/>
        <v>11476.764698540215</v>
      </c>
      <c r="E377">
        <f t="shared" ca="1" si="36"/>
        <v>4293.4963909071375</v>
      </c>
    </row>
    <row r="378" spans="2:5" x14ac:dyDescent="0.2">
      <c r="B378" s="156">
        <f t="shared" si="37"/>
        <v>303</v>
      </c>
      <c r="C378">
        <f t="shared" ca="1" si="34"/>
        <v>14784.292722902506</v>
      </c>
      <c r="D378">
        <f t="shared" ca="1" si="35"/>
        <v>12532.143402859059</v>
      </c>
      <c r="E378">
        <f t="shared" ca="1" si="36"/>
        <v>2252.149320043447</v>
      </c>
    </row>
    <row r="379" spans="2:5" x14ac:dyDescent="0.2">
      <c r="B379" s="156">
        <f t="shared" si="37"/>
        <v>304</v>
      </c>
      <c r="C379">
        <f t="shared" ca="1" si="34"/>
        <v>13896.432117238262</v>
      </c>
      <c r="D379">
        <f t="shared" ca="1" si="35"/>
        <v>12731.609744790007</v>
      </c>
      <c r="E379">
        <f t="shared" ca="1" si="36"/>
        <v>1164.8223724482559</v>
      </c>
    </row>
    <row r="380" spans="2:5" x14ac:dyDescent="0.2">
      <c r="B380" s="156">
        <f t="shared" si="37"/>
        <v>305</v>
      </c>
      <c r="C380">
        <f t="shared" ca="1" si="34"/>
        <v>13863.166668182432</v>
      </c>
      <c r="D380">
        <f t="shared" ca="1" si="35"/>
        <v>13458.922525475537</v>
      </c>
      <c r="E380">
        <f t="shared" ca="1" si="36"/>
        <v>404.24414270689522</v>
      </c>
    </row>
    <row r="381" spans="2:5" x14ac:dyDescent="0.2">
      <c r="B381" s="156">
        <f t="shared" si="37"/>
        <v>306</v>
      </c>
      <c r="C381">
        <f t="shared" ca="1" si="34"/>
        <v>14424.100610864216</v>
      </c>
      <c r="D381">
        <f t="shared" ca="1" si="35"/>
        <v>11925.589009865585</v>
      </c>
      <c r="E381">
        <f t="shared" ca="1" si="36"/>
        <v>2498.5116009986305</v>
      </c>
    </row>
    <row r="382" spans="2:5" x14ac:dyDescent="0.2">
      <c r="B382" s="156">
        <f t="shared" si="37"/>
        <v>307</v>
      </c>
      <c r="C382">
        <f t="shared" ca="1" si="34"/>
        <v>14102.002256054986</v>
      </c>
      <c r="D382">
        <f t="shared" ca="1" si="35"/>
        <v>12095.466150157736</v>
      </c>
      <c r="E382">
        <f t="shared" ca="1" si="36"/>
        <v>2006.5361058972503</v>
      </c>
    </row>
    <row r="383" spans="2:5" x14ac:dyDescent="0.2">
      <c r="B383" s="156">
        <f t="shared" si="37"/>
        <v>308</v>
      </c>
      <c r="C383">
        <f t="shared" ca="1" si="34"/>
        <v>15152.678198232548</v>
      </c>
      <c r="D383">
        <f t="shared" ca="1" si="35"/>
        <v>11719.376416702589</v>
      </c>
      <c r="E383">
        <f t="shared" ca="1" si="36"/>
        <v>3433.301781529959</v>
      </c>
    </row>
    <row r="384" spans="2:5" x14ac:dyDescent="0.2">
      <c r="B384" s="156">
        <f t="shared" si="37"/>
        <v>309</v>
      </c>
      <c r="C384">
        <f t="shared" ca="1" si="34"/>
        <v>11023.957756965068</v>
      </c>
      <c r="D384">
        <f t="shared" ca="1" si="35"/>
        <v>11806.43109467618</v>
      </c>
      <c r="E384">
        <f t="shared" ca="1" si="36"/>
        <v>-782.47333771111153</v>
      </c>
    </row>
    <row r="385" spans="2:5" x14ac:dyDescent="0.2">
      <c r="B385" s="156">
        <f t="shared" si="37"/>
        <v>310</v>
      </c>
      <c r="C385">
        <f t="shared" ca="1" si="34"/>
        <v>17321.729381969584</v>
      </c>
      <c r="D385">
        <f t="shared" ca="1" si="35"/>
        <v>12490.68095858669</v>
      </c>
      <c r="E385">
        <f t="shared" ca="1" si="36"/>
        <v>4831.0484233828938</v>
      </c>
    </row>
    <row r="386" spans="2:5" x14ac:dyDescent="0.2">
      <c r="B386" s="156">
        <f t="shared" si="37"/>
        <v>311</v>
      </c>
      <c r="C386">
        <f t="shared" ca="1" si="34"/>
        <v>15643.078124008573</v>
      </c>
      <c r="D386">
        <f t="shared" ca="1" si="35"/>
        <v>14568.702729714132</v>
      </c>
      <c r="E386">
        <f t="shared" ca="1" si="36"/>
        <v>1074.3753942944404</v>
      </c>
    </row>
    <row r="387" spans="2:5" x14ac:dyDescent="0.2">
      <c r="B387" s="156">
        <f t="shared" si="37"/>
        <v>312</v>
      </c>
      <c r="C387">
        <f t="shared" ca="1" si="34"/>
        <v>13609.229972434547</v>
      </c>
      <c r="D387">
        <f t="shared" ca="1" si="35"/>
        <v>9987.7863533208529</v>
      </c>
      <c r="E387">
        <f t="shared" ca="1" si="36"/>
        <v>3621.4436191136938</v>
      </c>
    </row>
    <row r="388" spans="2:5" x14ac:dyDescent="0.2">
      <c r="B388" s="156">
        <f t="shared" si="37"/>
        <v>313</v>
      </c>
      <c r="C388">
        <f t="shared" ca="1" si="34"/>
        <v>15258.23406158459</v>
      </c>
      <c r="D388">
        <f t="shared" ca="1" si="35"/>
        <v>11641.449293937021</v>
      </c>
      <c r="E388">
        <f t="shared" ca="1" si="36"/>
        <v>3616.7847676475685</v>
      </c>
    </row>
    <row r="389" spans="2:5" x14ac:dyDescent="0.2">
      <c r="B389" s="156">
        <f t="shared" si="37"/>
        <v>314</v>
      </c>
      <c r="C389">
        <f t="shared" ca="1" si="34"/>
        <v>15775.440614199146</v>
      </c>
      <c r="D389">
        <f t="shared" ca="1" si="35"/>
        <v>11948.733437202509</v>
      </c>
      <c r="E389">
        <f t="shared" ca="1" si="36"/>
        <v>3826.7071769966369</v>
      </c>
    </row>
    <row r="390" spans="2:5" x14ac:dyDescent="0.2">
      <c r="B390" s="156">
        <f t="shared" si="37"/>
        <v>315</v>
      </c>
      <c r="C390">
        <f t="shared" ca="1" si="34"/>
        <v>13280.022252454795</v>
      </c>
      <c r="D390">
        <f t="shared" ca="1" si="35"/>
        <v>11095.134447668293</v>
      </c>
      <c r="E390">
        <f t="shared" ca="1" si="36"/>
        <v>2184.8878047865019</v>
      </c>
    </row>
    <row r="391" spans="2:5" x14ac:dyDescent="0.2">
      <c r="B391" s="156">
        <f t="shared" si="37"/>
        <v>316</v>
      </c>
      <c r="C391">
        <f t="shared" ca="1" si="34"/>
        <v>15683.479535301542</v>
      </c>
      <c r="D391">
        <f t="shared" ca="1" si="35"/>
        <v>11301.32361842827</v>
      </c>
      <c r="E391">
        <f t="shared" ca="1" si="36"/>
        <v>4382.1559168732711</v>
      </c>
    </row>
    <row r="392" spans="2:5" x14ac:dyDescent="0.2">
      <c r="B392" s="156">
        <f t="shared" si="37"/>
        <v>317</v>
      </c>
      <c r="C392">
        <f t="shared" ca="1" si="34"/>
        <v>12650.330218196115</v>
      </c>
      <c r="D392">
        <f t="shared" ca="1" si="35"/>
        <v>13154.555766144866</v>
      </c>
      <c r="E392">
        <f t="shared" ca="1" si="36"/>
        <v>-504.22554794875032</v>
      </c>
    </row>
    <row r="393" spans="2:5" x14ac:dyDescent="0.2">
      <c r="B393" s="156">
        <f t="shared" si="37"/>
        <v>318</v>
      </c>
      <c r="C393">
        <f t="shared" ca="1" si="34"/>
        <v>14975.47881394449</v>
      </c>
      <c r="D393">
        <f t="shared" ca="1" si="35"/>
        <v>11481.142089165844</v>
      </c>
      <c r="E393">
        <f t="shared" ca="1" si="36"/>
        <v>3494.3367247786464</v>
      </c>
    </row>
    <row r="394" spans="2:5" x14ac:dyDescent="0.2">
      <c r="B394" s="156">
        <f t="shared" si="37"/>
        <v>319</v>
      </c>
      <c r="C394">
        <f t="shared" ca="1" si="34"/>
        <v>11517.078947297519</v>
      </c>
      <c r="D394">
        <f t="shared" ca="1" si="35"/>
        <v>12253.448513374751</v>
      </c>
      <c r="E394">
        <f t="shared" ca="1" si="36"/>
        <v>-736.36956607723187</v>
      </c>
    </row>
    <row r="395" spans="2:5" x14ac:dyDescent="0.2">
      <c r="B395" s="156">
        <f t="shared" si="37"/>
        <v>320</v>
      </c>
      <c r="C395">
        <f t="shared" ca="1" si="34"/>
        <v>14128.23834724528</v>
      </c>
      <c r="D395">
        <f t="shared" ca="1" si="35"/>
        <v>12582.454545399672</v>
      </c>
      <c r="E395">
        <f t="shared" ca="1" si="36"/>
        <v>1545.7838018456077</v>
      </c>
    </row>
    <row r="396" spans="2:5" x14ac:dyDescent="0.2">
      <c r="B396" s="156">
        <f t="shared" si="37"/>
        <v>321</v>
      </c>
      <c r="C396">
        <f t="shared" ca="1" si="34"/>
        <v>13650.119889339345</v>
      </c>
      <c r="D396">
        <f t="shared" ca="1" si="35"/>
        <v>10426.837764949312</v>
      </c>
      <c r="E396">
        <f t="shared" ca="1" si="36"/>
        <v>3223.2821243900325</v>
      </c>
    </row>
    <row r="397" spans="2:5" x14ac:dyDescent="0.2">
      <c r="B397" s="156">
        <f t="shared" si="37"/>
        <v>322</v>
      </c>
      <c r="C397">
        <f t="shared" ref="C397:C460" ca="1" si="38">$C$70*(1+_xlfn.NORM.S.INV(RAND())*$C$72)</f>
        <v>15741.647318737865</v>
      </c>
      <c r="D397">
        <f t="shared" ref="D397:D460" ca="1" si="39">$C$71*(1+_xlfn.NORM.S.INV(RAND())*$C$73)</f>
        <v>13859.945451208068</v>
      </c>
      <c r="E397">
        <f t="shared" ref="E397:E460" ca="1" si="40">C397-D397</f>
        <v>1881.7018675297968</v>
      </c>
    </row>
    <row r="398" spans="2:5" x14ac:dyDescent="0.2">
      <c r="B398" s="156">
        <f t="shared" ref="B398:B461" si="41">B397+1</f>
        <v>323</v>
      </c>
      <c r="C398">
        <f t="shared" ca="1" si="38"/>
        <v>13498.324701167823</v>
      </c>
      <c r="D398">
        <f t="shared" ca="1" si="39"/>
        <v>12553.800152378843</v>
      </c>
      <c r="E398">
        <f t="shared" ca="1" si="40"/>
        <v>944.52454878898061</v>
      </c>
    </row>
    <row r="399" spans="2:5" x14ac:dyDescent="0.2">
      <c r="B399" s="156">
        <f t="shared" si="41"/>
        <v>324</v>
      </c>
      <c r="C399">
        <f t="shared" ca="1" si="38"/>
        <v>14254.182382225774</v>
      </c>
      <c r="D399">
        <f t="shared" ca="1" si="39"/>
        <v>12119.064283748703</v>
      </c>
      <c r="E399">
        <f t="shared" ca="1" si="40"/>
        <v>2135.1180984770708</v>
      </c>
    </row>
    <row r="400" spans="2:5" x14ac:dyDescent="0.2">
      <c r="B400" s="156">
        <f t="shared" si="41"/>
        <v>325</v>
      </c>
      <c r="C400">
        <f t="shared" ca="1" si="38"/>
        <v>13644.646326733849</v>
      </c>
      <c r="D400">
        <f t="shared" ca="1" si="39"/>
        <v>8685.9613970073897</v>
      </c>
      <c r="E400">
        <f t="shared" ca="1" si="40"/>
        <v>4958.6849297264598</v>
      </c>
    </row>
    <row r="401" spans="2:5" x14ac:dyDescent="0.2">
      <c r="B401" s="156">
        <f t="shared" si="41"/>
        <v>326</v>
      </c>
      <c r="C401">
        <f t="shared" ca="1" si="38"/>
        <v>16196.411941251075</v>
      </c>
      <c r="D401">
        <f t="shared" ca="1" si="39"/>
        <v>11549.551132180235</v>
      </c>
      <c r="E401">
        <f t="shared" ca="1" si="40"/>
        <v>4646.8608090708403</v>
      </c>
    </row>
    <row r="402" spans="2:5" x14ac:dyDescent="0.2">
      <c r="B402" s="156">
        <f t="shared" si="41"/>
        <v>327</v>
      </c>
      <c r="C402">
        <f t="shared" ca="1" si="38"/>
        <v>12431.93926690037</v>
      </c>
      <c r="D402">
        <f t="shared" ca="1" si="39"/>
        <v>12401.347368205061</v>
      </c>
      <c r="E402">
        <f t="shared" ca="1" si="40"/>
        <v>30.591898695309283</v>
      </c>
    </row>
    <row r="403" spans="2:5" x14ac:dyDescent="0.2">
      <c r="B403" s="156">
        <f t="shared" si="41"/>
        <v>328</v>
      </c>
      <c r="C403">
        <f t="shared" ca="1" si="38"/>
        <v>10798.279989846633</v>
      </c>
      <c r="D403">
        <f t="shared" ca="1" si="39"/>
        <v>12944.437895151204</v>
      </c>
      <c r="E403">
        <f t="shared" ca="1" si="40"/>
        <v>-2146.1579053045716</v>
      </c>
    </row>
    <row r="404" spans="2:5" x14ac:dyDescent="0.2">
      <c r="B404" s="156">
        <f t="shared" si="41"/>
        <v>329</v>
      </c>
      <c r="C404">
        <f t="shared" ca="1" si="38"/>
        <v>12683.828418621653</v>
      </c>
      <c r="D404">
        <f t="shared" ca="1" si="39"/>
        <v>13069.931244500898</v>
      </c>
      <c r="E404">
        <f t="shared" ca="1" si="40"/>
        <v>-386.10282587924485</v>
      </c>
    </row>
    <row r="405" spans="2:5" x14ac:dyDescent="0.2">
      <c r="B405" s="156">
        <f t="shared" si="41"/>
        <v>330</v>
      </c>
      <c r="C405">
        <f t="shared" ca="1" si="38"/>
        <v>17429.846781983761</v>
      </c>
      <c r="D405">
        <f t="shared" ca="1" si="39"/>
        <v>12115.049630643671</v>
      </c>
      <c r="E405">
        <f t="shared" ca="1" si="40"/>
        <v>5314.7971513400898</v>
      </c>
    </row>
    <row r="406" spans="2:5" x14ac:dyDescent="0.2">
      <c r="B406" s="156">
        <f t="shared" si="41"/>
        <v>331</v>
      </c>
      <c r="C406">
        <f t="shared" ca="1" si="38"/>
        <v>12172.874400864039</v>
      </c>
      <c r="D406">
        <f t="shared" ca="1" si="39"/>
        <v>11255.746554144793</v>
      </c>
      <c r="E406">
        <f t="shared" ca="1" si="40"/>
        <v>917.12784671924601</v>
      </c>
    </row>
    <row r="407" spans="2:5" x14ac:dyDescent="0.2">
      <c r="B407" s="156">
        <f t="shared" si="41"/>
        <v>332</v>
      </c>
      <c r="C407">
        <f t="shared" ca="1" si="38"/>
        <v>13510.819524677116</v>
      </c>
      <c r="D407">
        <f t="shared" ca="1" si="39"/>
        <v>12804.6294943623</v>
      </c>
      <c r="E407">
        <f t="shared" ca="1" si="40"/>
        <v>706.19003031481589</v>
      </c>
    </row>
    <row r="408" spans="2:5" x14ac:dyDescent="0.2">
      <c r="B408" s="156">
        <f t="shared" si="41"/>
        <v>333</v>
      </c>
      <c r="C408">
        <f t="shared" ca="1" si="38"/>
        <v>16511.352373186575</v>
      </c>
      <c r="D408">
        <f t="shared" ca="1" si="39"/>
        <v>11940.802453779399</v>
      </c>
      <c r="E408">
        <f t="shared" ca="1" si="40"/>
        <v>4570.5499194071763</v>
      </c>
    </row>
    <row r="409" spans="2:5" x14ac:dyDescent="0.2">
      <c r="B409" s="156">
        <f t="shared" si="41"/>
        <v>334</v>
      </c>
      <c r="C409">
        <f t="shared" ca="1" si="38"/>
        <v>16900.464996504354</v>
      </c>
      <c r="D409">
        <f t="shared" ca="1" si="39"/>
        <v>12175.803413520862</v>
      </c>
      <c r="E409">
        <f t="shared" ca="1" si="40"/>
        <v>4724.6615829834918</v>
      </c>
    </row>
    <row r="410" spans="2:5" x14ac:dyDescent="0.2">
      <c r="B410" s="156">
        <f t="shared" si="41"/>
        <v>335</v>
      </c>
      <c r="C410">
        <f t="shared" ca="1" si="38"/>
        <v>14594.993793803089</v>
      </c>
      <c r="D410">
        <f t="shared" ca="1" si="39"/>
        <v>11232.47149711838</v>
      </c>
      <c r="E410">
        <f t="shared" ca="1" si="40"/>
        <v>3362.5222966847086</v>
      </c>
    </row>
    <row r="411" spans="2:5" x14ac:dyDescent="0.2">
      <c r="B411" s="156">
        <f t="shared" si="41"/>
        <v>336</v>
      </c>
      <c r="C411">
        <f t="shared" ca="1" si="38"/>
        <v>12828.820330954952</v>
      </c>
      <c r="D411">
        <f t="shared" ca="1" si="39"/>
        <v>12105.574022954943</v>
      </c>
      <c r="E411">
        <f t="shared" ca="1" si="40"/>
        <v>723.24630800000887</v>
      </c>
    </row>
    <row r="412" spans="2:5" x14ac:dyDescent="0.2">
      <c r="B412" s="156">
        <f t="shared" si="41"/>
        <v>337</v>
      </c>
      <c r="C412">
        <f t="shared" ca="1" si="38"/>
        <v>14974.863790346653</v>
      </c>
      <c r="D412">
        <f t="shared" ca="1" si="39"/>
        <v>10414.700223534122</v>
      </c>
      <c r="E412">
        <f t="shared" ca="1" si="40"/>
        <v>4560.1635668125309</v>
      </c>
    </row>
    <row r="413" spans="2:5" x14ac:dyDescent="0.2">
      <c r="B413" s="156">
        <f t="shared" si="41"/>
        <v>338</v>
      </c>
      <c r="C413">
        <f t="shared" ca="1" si="38"/>
        <v>15038.410029785462</v>
      </c>
      <c r="D413">
        <f t="shared" ca="1" si="39"/>
        <v>12215.421175512995</v>
      </c>
      <c r="E413">
        <f t="shared" ca="1" si="40"/>
        <v>2822.9888542724675</v>
      </c>
    </row>
    <row r="414" spans="2:5" x14ac:dyDescent="0.2">
      <c r="B414" s="156">
        <f t="shared" si="41"/>
        <v>339</v>
      </c>
      <c r="C414">
        <f t="shared" ca="1" si="38"/>
        <v>14208.272852720855</v>
      </c>
      <c r="D414">
        <f t="shared" ca="1" si="39"/>
        <v>13538.867756995196</v>
      </c>
      <c r="E414">
        <f t="shared" ca="1" si="40"/>
        <v>669.40509572565861</v>
      </c>
    </row>
    <row r="415" spans="2:5" x14ac:dyDescent="0.2">
      <c r="B415" s="156">
        <f t="shared" si="41"/>
        <v>340</v>
      </c>
      <c r="C415">
        <f t="shared" ca="1" si="38"/>
        <v>14227.196013503361</v>
      </c>
      <c r="D415">
        <f t="shared" ca="1" si="39"/>
        <v>13044.36417189872</v>
      </c>
      <c r="E415">
        <f t="shared" ca="1" si="40"/>
        <v>1182.8318416046404</v>
      </c>
    </row>
    <row r="416" spans="2:5" x14ac:dyDescent="0.2">
      <c r="B416" s="156">
        <f t="shared" si="41"/>
        <v>341</v>
      </c>
      <c r="C416">
        <f t="shared" ca="1" si="38"/>
        <v>15966.877429708038</v>
      </c>
      <c r="D416">
        <f t="shared" ca="1" si="39"/>
        <v>13818.139311158528</v>
      </c>
      <c r="E416">
        <f t="shared" ca="1" si="40"/>
        <v>2148.7381185495105</v>
      </c>
    </row>
    <row r="417" spans="2:5" x14ac:dyDescent="0.2">
      <c r="B417" s="156">
        <f t="shared" si="41"/>
        <v>342</v>
      </c>
      <c r="C417">
        <f t="shared" ca="1" si="38"/>
        <v>17703.152980258656</v>
      </c>
      <c r="D417">
        <f t="shared" ca="1" si="39"/>
        <v>10857.745191684144</v>
      </c>
      <c r="E417">
        <f t="shared" ca="1" si="40"/>
        <v>6845.4077885745119</v>
      </c>
    </row>
    <row r="418" spans="2:5" x14ac:dyDescent="0.2">
      <c r="B418" s="156">
        <f t="shared" si="41"/>
        <v>343</v>
      </c>
      <c r="C418">
        <f t="shared" ca="1" si="38"/>
        <v>14723.010561698129</v>
      </c>
      <c r="D418">
        <f t="shared" ca="1" si="39"/>
        <v>12007.896908467676</v>
      </c>
      <c r="E418">
        <f t="shared" ca="1" si="40"/>
        <v>2715.1136532304536</v>
      </c>
    </row>
    <row r="419" spans="2:5" x14ac:dyDescent="0.2">
      <c r="B419" s="156">
        <f t="shared" si="41"/>
        <v>344</v>
      </c>
      <c r="C419">
        <f t="shared" ca="1" si="38"/>
        <v>13838.643352042136</v>
      </c>
      <c r="D419">
        <f t="shared" ca="1" si="39"/>
        <v>11958.355299471194</v>
      </c>
      <c r="E419">
        <f t="shared" ca="1" si="40"/>
        <v>1880.2880525709425</v>
      </c>
    </row>
    <row r="420" spans="2:5" x14ac:dyDescent="0.2">
      <c r="B420" s="156">
        <f t="shared" si="41"/>
        <v>345</v>
      </c>
      <c r="C420">
        <f t="shared" ca="1" si="38"/>
        <v>17580.24206407461</v>
      </c>
      <c r="D420">
        <f t="shared" ca="1" si="39"/>
        <v>11172.637326218077</v>
      </c>
      <c r="E420">
        <f t="shared" ca="1" si="40"/>
        <v>6407.6047378565327</v>
      </c>
    </row>
    <row r="421" spans="2:5" x14ac:dyDescent="0.2">
      <c r="B421" s="156">
        <f t="shared" si="41"/>
        <v>346</v>
      </c>
      <c r="C421">
        <f t="shared" ca="1" si="38"/>
        <v>15604.596408913469</v>
      </c>
      <c r="D421">
        <f t="shared" ca="1" si="39"/>
        <v>12817.032328126632</v>
      </c>
      <c r="E421">
        <f t="shared" ca="1" si="40"/>
        <v>2787.5640807868367</v>
      </c>
    </row>
    <row r="422" spans="2:5" x14ac:dyDescent="0.2">
      <c r="B422" s="156">
        <f t="shared" si="41"/>
        <v>347</v>
      </c>
      <c r="C422">
        <f t="shared" ca="1" si="38"/>
        <v>13435.138999819254</v>
      </c>
      <c r="D422">
        <f t="shared" ca="1" si="39"/>
        <v>11722.177186906203</v>
      </c>
      <c r="E422">
        <f t="shared" ca="1" si="40"/>
        <v>1712.9618129130504</v>
      </c>
    </row>
    <row r="423" spans="2:5" x14ac:dyDescent="0.2">
      <c r="B423" s="156">
        <f t="shared" si="41"/>
        <v>348</v>
      </c>
      <c r="C423">
        <f t="shared" ca="1" si="38"/>
        <v>13948.220708729297</v>
      </c>
      <c r="D423">
        <f t="shared" ca="1" si="39"/>
        <v>12586.487802724159</v>
      </c>
      <c r="E423">
        <f t="shared" ca="1" si="40"/>
        <v>1361.7329060051379</v>
      </c>
    </row>
    <row r="424" spans="2:5" x14ac:dyDescent="0.2">
      <c r="B424" s="156">
        <f t="shared" si="41"/>
        <v>349</v>
      </c>
      <c r="C424">
        <f t="shared" ca="1" si="38"/>
        <v>14731.627058811908</v>
      </c>
      <c r="D424">
        <f t="shared" ca="1" si="39"/>
        <v>11776.62693643013</v>
      </c>
      <c r="E424">
        <f t="shared" ca="1" si="40"/>
        <v>2955.0001223817781</v>
      </c>
    </row>
    <row r="425" spans="2:5" x14ac:dyDescent="0.2">
      <c r="B425" s="156">
        <f t="shared" si="41"/>
        <v>350</v>
      </c>
      <c r="C425">
        <f t="shared" ca="1" si="38"/>
        <v>14620.618188269309</v>
      </c>
      <c r="D425">
        <f t="shared" ca="1" si="39"/>
        <v>10939.221800022851</v>
      </c>
      <c r="E425">
        <f t="shared" ca="1" si="40"/>
        <v>3681.3963882464577</v>
      </c>
    </row>
    <row r="426" spans="2:5" x14ac:dyDescent="0.2">
      <c r="B426" s="156">
        <f t="shared" si="41"/>
        <v>351</v>
      </c>
      <c r="C426">
        <f t="shared" ca="1" si="38"/>
        <v>14022.696006161441</v>
      </c>
      <c r="D426">
        <f t="shared" ca="1" si="39"/>
        <v>11505.470562816983</v>
      </c>
      <c r="E426">
        <f t="shared" ca="1" si="40"/>
        <v>2517.2254433444577</v>
      </c>
    </row>
    <row r="427" spans="2:5" x14ac:dyDescent="0.2">
      <c r="B427" s="156">
        <f t="shared" si="41"/>
        <v>352</v>
      </c>
      <c r="C427">
        <f t="shared" ca="1" si="38"/>
        <v>14102.714627238394</v>
      </c>
      <c r="D427">
        <f t="shared" ca="1" si="39"/>
        <v>12658.212505018437</v>
      </c>
      <c r="E427">
        <f t="shared" ca="1" si="40"/>
        <v>1444.5021222199575</v>
      </c>
    </row>
    <row r="428" spans="2:5" x14ac:dyDescent="0.2">
      <c r="B428" s="156">
        <f t="shared" si="41"/>
        <v>353</v>
      </c>
      <c r="C428">
        <f t="shared" ca="1" si="38"/>
        <v>13935.151784627993</v>
      </c>
      <c r="D428">
        <f t="shared" ca="1" si="39"/>
        <v>11023.000742429171</v>
      </c>
      <c r="E428">
        <f t="shared" ca="1" si="40"/>
        <v>2912.1510421988223</v>
      </c>
    </row>
    <row r="429" spans="2:5" x14ac:dyDescent="0.2">
      <c r="B429" s="156">
        <f t="shared" si="41"/>
        <v>354</v>
      </c>
      <c r="C429">
        <f t="shared" ca="1" si="38"/>
        <v>13389.632273553852</v>
      </c>
      <c r="D429">
        <f t="shared" ca="1" si="39"/>
        <v>11566.299784881383</v>
      </c>
      <c r="E429">
        <f t="shared" ca="1" si="40"/>
        <v>1823.3324886724695</v>
      </c>
    </row>
    <row r="430" spans="2:5" x14ac:dyDescent="0.2">
      <c r="B430" s="156">
        <f t="shared" si="41"/>
        <v>355</v>
      </c>
      <c r="C430">
        <f t="shared" ca="1" si="38"/>
        <v>12992.808368004777</v>
      </c>
      <c r="D430">
        <f t="shared" ca="1" si="39"/>
        <v>15146.887818832503</v>
      </c>
      <c r="E430">
        <f t="shared" ca="1" si="40"/>
        <v>-2154.0794508277268</v>
      </c>
    </row>
    <row r="431" spans="2:5" x14ac:dyDescent="0.2">
      <c r="B431" s="156">
        <f t="shared" si="41"/>
        <v>356</v>
      </c>
      <c r="C431">
        <f t="shared" ca="1" si="38"/>
        <v>13345.028554310908</v>
      </c>
      <c r="D431">
        <f t="shared" ca="1" si="39"/>
        <v>9483.8579736854026</v>
      </c>
      <c r="E431">
        <f t="shared" ca="1" si="40"/>
        <v>3861.170580625505</v>
      </c>
    </row>
    <row r="432" spans="2:5" x14ac:dyDescent="0.2">
      <c r="B432" s="156">
        <f t="shared" si="41"/>
        <v>357</v>
      </c>
      <c r="C432">
        <f t="shared" ca="1" si="38"/>
        <v>14100.40274198605</v>
      </c>
      <c r="D432">
        <f t="shared" ca="1" si="39"/>
        <v>11741.019387877785</v>
      </c>
      <c r="E432">
        <f t="shared" ca="1" si="40"/>
        <v>2359.3833541082658</v>
      </c>
    </row>
    <row r="433" spans="2:5" x14ac:dyDescent="0.2">
      <c r="B433" s="156">
        <f t="shared" si="41"/>
        <v>358</v>
      </c>
      <c r="C433">
        <f t="shared" ca="1" si="38"/>
        <v>14952.181312888013</v>
      </c>
      <c r="D433">
        <f t="shared" ca="1" si="39"/>
        <v>11446.911265416758</v>
      </c>
      <c r="E433">
        <f t="shared" ca="1" si="40"/>
        <v>3505.2700474712547</v>
      </c>
    </row>
    <row r="434" spans="2:5" x14ac:dyDescent="0.2">
      <c r="B434" s="156">
        <f t="shared" si="41"/>
        <v>359</v>
      </c>
      <c r="C434">
        <f t="shared" ca="1" si="38"/>
        <v>14750.725427535875</v>
      </c>
      <c r="D434">
        <f t="shared" ca="1" si="39"/>
        <v>12405.017502175075</v>
      </c>
      <c r="E434">
        <f t="shared" ca="1" si="40"/>
        <v>2345.7079253608008</v>
      </c>
    </row>
    <row r="435" spans="2:5" x14ac:dyDescent="0.2">
      <c r="B435" s="156">
        <f t="shared" si="41"/>
        <v>360</v>
      </c>
      <c r="C435">
        <f t="shared" ca="1" si="38"/>
        <v>14224.772852904722</v>
      </c>
      <c r="D435">
        <f t="shared" ca="1" si="39"/>
        <v>11227.251630850227</v>
      </c>
      <c r="E435">
        <f t="shared" ca="1" si="40"/>
        <v>2997.5212220544945</v>
      </c>
    </row>
    <row r="436" spans="2:5" x14ac:dyDescent="0.2">
      <c r="B436" s="156">
        <f t="shared" si="41"/>
        <v>361</v>
      </c>
      <c r="C436">
        <f t="shared" ca="1" si="38"/>
        <v>14147.599028656794</v>
      </c>
      <c r="D436">
        <f t="shared" ca="1" si="39"/>
        <v>12380.379034974676</v>
      </c>
      <c r="E436">
        <f t="shared" ca="1" si="40"/>
        <v>1767.219993682118</v>
      </c>
    </row>
    <row r="437" spans="2:5" x14ac:dyDescent="0.2">
      <c r="B437" s="156">
        <f t="shared" si="41"/>
        <v>362</v>
      </c>
      <c r="C437">
        <f t="shared" ca="1" si="38"/>
        <v>13294.612081471831</v>
      </c>
      <c r="D437">
        <f t="shared" ca="1" si="39"/>
        <v>12842.486282428203</v>
      </c>
      <c r="E437">
        <f t="shared" ca="1" si="40"/>
        <v>452.12579904362792</v>
      </c>
    </row>
    <row r="438" spans="2:5" x14ac:dyDescent="0.2">
      <c r="B438" s="156">
        <f t="shared" si="41"/>
        <v>363</v>
      </c>
      <c r="C438">
        <f t="shared" ca="1" si="38"/>
        <v>14817.214740343781</v>
      </c>
      <c r="D438">
        <f t="shared" ca="1" si="39"/>
        <v>12219.823903752158</v>
      </c>
      <c r="E438">
        <f t="shared" ca="1" si="40"/>
        <v>2597.3908365916232</v>
      </c>
    </row>
    <row r="439" spans="2:5" x14ac:dyDescent="0.2">
      <c r="B439" s="156">
        <f t="shared" si="41"/>
        <v>364</v>
      </c>
      <c r="C439">
        <f t="shared" ca="1" si="38"/>
        <v>13922.38766370657</v>
      </c>
      <c r="D439">
        <f t="shared" ca="1" si="39"/>
        <v>12263.169874892543</v>
      </c>
      <c r="E439">
        <f t="shared" ca="1" si="40"/>
        <v>1659.2177888140268</v>
      </c>
    </row>
    <row r="440" spans="2:5" x14ac:dyDescent="0.2">
      <c r="B440" s="156">
        <f t="shared" si="41"/>
        <v>365</v>
      </c>
      <c r="C440">
        <f t="shared" ca="1" si="38"/>
        <v>15278.565135346473</v>
      </c>
      <c r="D440">
        <f t="shared" ca="1" si="39"/>
        <v>11922.349987310137</v>
      </c>
      <c r="E440">
        <f t="shared" ca="1" si="40"/>
        <v>3356.2151480363354</v>
      </c>
    </row>
    <row r="441" spans="2:5" x14ac:dyDescent="0.2">
      <c r="B441" s="156">
        <f t="shared" si="41"/>
        <v>366</v>
      </c>
      <c r="C441">
        <f t="shared" ca="1" si="38"/>
        <v>15915.389268478122</v>
      </c>
      <c r="D441">
        <f t="shared" ca="1" si="39"/>
        <v>11242.557344260662</v>
      </c>
      <c r="E441">
        <f t="shared" ca="1" si="40"/>
        <v>4672.8319242174603</v>
      </c>
    </row>
    <row r="442" spans="2:5" x14ac:dyDescent="0.2">
      <c r="B442" s="156">
        <f t="shared" si="41"/>
        <v>367</v>
      </c>
      <c r="C442">
        <f t="shared" ca="1" si="38"/>
        <v>11843.624533004622</v>
      </c>
      <c r="D442">
        <f t="shared" ca="1" si="39"/>
        <v>12377.40633268099</v>
      </c>
      <c r="E442">
        <f t="shared" ca="1" si="40"/>
        <v>-533.78179967636788</v>
      </c>
    </row>
    <row r="443" spans="2:5" x14ac:dyDescent="0.2">
      <c r="B443" s="156">
        <f t="shared" si="41"/>
        <v>368</v>
      </c>
      <c r="C443">
        <f t="shared" ca="1" si="38"/>
        <v>14998.626163041656</v>
      </c>
      <c r="D443">
        <f t="shared" ca="1" si="39"/>
        <v>11625.021432402886</v>
      </c>
      <c r="E443">
        <f t="shared" ca="1" si="40"/>
        <v>3373.60473063877</v>
      </c>
    </row>
    <row r="444" spans="2:5" x14ac:dyDescent="0.2">
      <c r="B444" s="156">
        <f t="shared" si="41"/>
        <v>369</v>
      </c>
      <c r="C444">
        <f t="shared" ca="1" si="38"/>
        <v>16693.014366713182</v>
      </c>
      <c r="D444">
        <f t="shared" ca="1" si="39"/>
        <v>11603.703477349565</v>
      </c>
      <c r="E444">
        <f t="shared" ca="1" si="40"/>
        <v>5089.3108893636163</v>
      </c>
    </row>
    <row r="445" spans="2:5" x14ac:dyDescent="0.2">
      <c r="B445" s="156">
        <f t="shared" si="41"/>
        <v>370</v>
      </c>
      <c r="C445">
        <f t="shared" ca="1" si="38"/>
        <v>16388.382132323495</v>
      </c>
      <c r="D445">
        <f t="shared" ca="1" si="39"/>
        <v>10808.542748169626</v>
      </c>
      <c r="E445">
        <f t="shared" ca="1" si="40"/>
        <v>5579.8393841538691</v>
      </c>
    </row>
    <row r="446" spans="2:5" x14ac:dyDescent="0.2">
      <c r="B446" s="156">
        <f t="shared" si="41"/>
        <v>371</v>
      </c>
      <c r="C446">
        <f t="shared" ca="1" si="38"/>
        <v>15737.091929233196</v>
      </c>
      <c r="D446">
        <f t="shared" ca="1" si="39"/>
        <v>11105.767771313027</v>
      </c>
      <c r="E446">
        <f t="shared" ca="1" si="40"/>
        <v>4631.3241579201695</v>
      </c>
    </row>
    <row r="447" spans="2:5" x14ac:dyDescent="0.2">
      <c r="B447" s="156">
        <f t="shared" si="41"/>
        <v>372</v>
      </c>
      <c r="C447">
        <f t="shared" ca="1" si="38"/>
        <v>12582.352919882822</v>
      </c>
      <c r="D447">
        <f t="shared" ca="1" si="39"/>
        <v>12010.010018549987</v>
      </c>
      <c r="E447">
        <f t="shared" ca="1" si="40"/>
        <v>572.34290133283503</v>
      </c>
    </row>
    <row r="448" spans="2:5" x14ac:dyDescent="0.2">
      <c r="B448" s="156">
        <f t="shared" si="41"/>
        <v>373</v>
      </c>
      <c r="C448">
        <f t="shared" ca="1" si="38"/>
        <v>15675.231975162695</v>
      </c>
      <c r="D448">
        <f t="shared" ca="1" si="39"/>
        <v>12007.084882159344</v>
      </c>
      <c r="E448">
        <f t="shared" ca="1" si="40"/>
        <v>3668.1470930033502</v>
      </c>
    </row>
    <row r="449" spans="2:5" x14ac:dyDescent="0.2">
      <c r="B449" s="156">
        <f t="shared" si="41"/>
        <v>374</v>
      </c>
      <c r="C449">
        <f t="shared" ca="1" si="38"/>
        <v>15468.660561677219</v>
      </c>
      <c r="D449">
        <f t="shared" ca="1" si="39"/>
        <v>11580.091878728021</v>
      </c>
      <c r="E449">
        <f t="shared" ca="1" si="40"/>
        <v>3888.5686829491988</v>
      </c>
    </row>
    <row r="450" spans="2:5" x14ac:dyDescent="0.2">
      <c r="B450" s="156">
        <f t="shared" si="41"/>
        <v>375</v>
      </c>
      <c r="C450">
        <f t="shared" ca="1" si="38"/>
        <v>15172.597526989872</v>
      </c>
      <c r="D450">
        <f t="shared" ca="1" si="39"/>
        <v>12790.525630313514</v>
      </c>
      <c r="E450">
        <f t="shared" ca="1" si="40"/>
        <v>2382.0718966763579</v>
      </c>
    </row>
    <row r="451" spans="2:5" x14ac:dyDescent="0.2">
      <c r="B451" s="156">
        <f t="shared" si="41"/>
        <v>376</v>
      </c>
      <c r="C451">
        <f t="shared" ca="1" si="38"/>
        <v>13006.576931337266</v>
      </c>
      <c r="D451">
        <f t="shared" ca="1" si="39"/>
        <v>11669.702707199676</v>
      </c>
      <c r="E451">
        <f t="shared" ca="1" si="40"/>
        <v>1336.8742241375894</v>
      </c>
    </row>
    <row r="452" spans="2:5" x14ac:dyDescent="0.2">
      <c r="B452" s="156">
        <f t="shared" si="41"/>
        <v>377</v>
      </c>
      <c r="C452">
        <f t="shared" ca="1" si="38"/>
        <v>14758.12097144946</v>
      </c>
      <c r="D452">
        <f t="shared" ca="1" si="39"/>
        <v>13632.709864148968</v>
      </c>
      <c r="E452">
        <f t="shared" ca="1" si="40"/>
        <v>1125.4111073004915</v>
      </c>
    </row>
    <row r="453" spans="2:5" x14ac:dyDescent="0.2">
      <c r="B453" s="156">
        <f t="shared" si="41"/>
        <v>378</v>
      </c>
      <c r="C453">
        <f t="shared" ca="1" si="38"/>
        <v>15355.189599844756</v>
      </c>
      <c r="D453">
        <f t="shared" ca="1" si="39"/>
        <v>13559.20841755631</v>
      </c>
      <c r="E453">
        <f t="shared" ca="1" si="40"/>
        <v>1795.9811822884458</v>
      </c>
    </row>
    <row r="454" spans="2:5" x14ac:dyDescent="0.2">
      <c r="B454" s="156">
        <f t="shared" si="41"/>
        <v>379</v>
      </c>
      <c r="C454">
        <f t="shared" ca="1" si="38"/>
        <v>17077.695571390654</v>
      </c>
      <c r="D454">
        <f t="shared" ca="1" si="39"/>
        <v>10849.192720718835</v>
      </c>
      <c r="E454">
        <f t="shared" ca="1" si="40"/>
        <v>6228.502850671819</v>
      </c>
    </row>
    <row r="455" spans="2:5" x14ac:dyDescent="0.2">
      <c r="B455" s="156">
        <f t="shared" si="41"/>
        <v>380</v>
      </c>
      <c r="C455">
        <f t="shared" ca="1" si="38"/>
        <v>14481.547185119021</v>
      </c>
      <c r="D455">
        <f t="shared" ca="1" si="39"/>
        <v>12756.335560211097</v>
      </c>
      <c r="E455">
        <f t="shared" ca="1" si="40"/>
        <v>1725.2116249079245</v>
      </c>
    </row>
    <row r="456" spans="2:5" x14ac:dyDescent="0.2">
      <c r="B456" s="156">
        <f t="shared" si="41"/>
        <v>381</v>
      </c>
      <c r="C456">
        <f t="shared" ca="1" si="38"/>
        <v>15475.476357445821</v>
      </c>
      <c r="D456">
        <f t="shared" ca="1" si="39"/>
        <v>9603.0477913656669</v>
      </c>
      <c r="E456">
        <f t="shared" ca="1" si="40"/>
        <v>5872.4285660801543</v>
      </c>
    </row>
    <row r="457" spans="2:5" x14ac:dyDescent="0.2">
      <c r="B457" s="156">
        <f t="shared" si="41"/>
        <v>382</v>
      </c>
      <c r="C457">
        <f t="shared" ca="1" si="38"/>
        <v>13296.194071074666</v>
      </c>
      <c r="D457">
        <f t="shared" ca="1" si="39"/>
        <v>10783.387241299468</v>
      </c>
      <c r="E457">
        <f t="shared" ca="1" si="40"/>
        <v>2512.8068297751979</v>
      </c>
    </row>
    <row r="458" spans="2:5" x14ac:dyDescent="0.2">
      <c r="B458" s="156">
        <f t="shared" si="41"/>
        <v>383</v>
      </c>
      <c r="C458">
        <f t="shared" ca="1" si="38"/>
        <v>13317.013299998736</v>
      </c>
      <c r="D458">
        <f t="shared" ca="1" si="39"/>
        <v>11129.085569785328</v>
      </c>
      <c r="E458">
        <f t="shared" ca="1" si="40"/>
        <v>2187.9277302134087</v>
      </c>
    </row>
    <row r="459" spans="2:5" x14ac:dyDescent="0.2">
      <c r="B459" s="156">
        <f t="shared" si="41"/>
        <v>384</v>
      </c>
      <c r="C459">
        <f t="shared" ca="1" si="38"/>
        <v>16472.543435570806</v>
      </c>
      <c r="D459">
        <f t="shared" ca="1" si="39"/>
        <v>12124.424066689322</v>
      </c>
      <c r="E459">
        <f t="shared" ca="1" si="40"/>
        <v>4348.1193688814838</v>
      </c>
    </row>
    <row r="460" spans="2:5" x14ac:dyDescent="0.2">
      <c r="B460" s="156">
        <f t="shared" si="41"/>
        <v>385</v>
      </c>
      <c r="C460">
        <f t="shared" ca="1" si="38"/>
        <v>12163.331887939599</v>
      </c>
      <c r="D460">
        <f t="shared" ca="1" si="39"/>
        <v>12726.362530401515</v>
      </c>
      <c r="E460">
        <f t="shared" ca="1" si="40"/>
        <v>-563.0306424619157</v>
      </c>
    </row>
    <row r="461" spans="2:5" x14ac:dyDescent="0.2">
      <c r="B461" s="156">
        <f t="shared" si="41"/>
        <v>386</v>
      </c>
      <c r="C461">
        <f t="shared" ref="C461:C524" ca="1" si="42">$C$70*(1+_xlfn.NORM.S.INV(RAND())*$C$72)</f>
        <v>17237.607371885755</v>
      </c>
      <c r="D461">
        <f t="shared" ref="D461:D524" ca="1" si="43">$C$71*(1+_xlfn.NORM.S.INV(RAND())*$C$73)</f>
        <v>10978.968695576175</v>
      </c>
      <c r="E461">
        <f t="shared" ref="E461:E524" ca="1" si="44">C461-D461</f>
        <v>6258.6386763095798</v>
      </c>
    </row>
    <row r="462" spans="2:5" x14ac:dyDescent="0.2">
      <c r="B462" s="156">
        <f t="shared" ref="B462:B525" si="45">B461+1</f>
        <v>387</v>
      </c>
      <c r="C462">
        <f t="shared" ca="1" si="42"/>
        <v>14580.63331192355</v>
      </c>
      <c r="D462">
        <f t="shared" ca="1" si="43"/>
        <v>10618.821789033891</v>
      </c>
      <c r="E462">
        <f t="shared" ca="1" si="44"/>
        <v>3961.8115228896586</v>
      </c>
    </row>
    <row r="463" spans="2:5" x14ac:dyDescent="0.2">
      <c r="B463" s="156">
        <f t="shared" si="45"/>
        <v>388</v>
      </c>
      <c r="C463">
        <f t="shared" ca="1" si="42"/>
        <v>13912.723556671224</v>
      </c>
      <c r="D463">
        <f t="shared" ca="1" si="43"/>
        <v>12749.841938003821</v>
      </c>
      <c r="E463">
        <f t="shared" ca="1" si="44"/>
        <v>1162.881618667403</v>
      </c>
    </row>
    <row r="464" spans="2:5" x14ac:dyDescent="0.2">
      <c r="B464" s="156">
        <f t="shared" si="45"/>
        <v>389</v>
      </c>
      <c r="C464">
        <f t="shared" ca="1" si="42"/>
        <v>14529.929712564646</v>
      </c>
      <c r="D464">
        <f t="shared" ca="1" si="43"/>
        <v>10589.552123221252</v>
      </c>
      <c r="E464">
        <f t="shared" ca="1" si="44"/>
        <v>3940.377589343394</v>
      </c>
    </row>
    <row r="465" spans="2:5" x14ac:dyDescent="0.2">
      <c r="B465" s="156">
        <f t="shared" si="45"/>
        <v>390</v>
      </c>
      <c r="C465">
        <f t="shared" ca="1" si="42"/>
        <v>13633.410121903973</v>
      </c>
      <c r="D465">
        <f t="shared" ca="1" si="43"/>
        <v>10185.651787094739</v>
      </c>
      <c r="E465">
        <f t="shared" ca="1" si="44"/>
        <v>3447.7583348092339</v>
      </c>
    </row>
    <row r="466" spans="2:5" x14ac:dyDescent="0.2">
      <c r="B466" s="156">
        <f t="shared" si="45"/>
        <v>391</v>
      </c>
      <c r="C466">
        <f t="shared" ca="1" si="42"/>
        <v>13675.535076472761</v>
      </c>
      <c r="D466">
        <f t="shared" ca="1" si="43"/>
        <v>10396.322832342403</v>
      </c>
      <c r="E466">
        <f t="shared" ca="1" si="44"/>
        <v>3279.2122441303582</v>
      </c>
    </row>
    <row r="467" spans="2:5" x14ac:dyDescent="0.2">
      <c r="B467" s="156">
        <f t="shared" si="45"/>
        <v>392</v>
      </c>
      <c r="C467">
        <f t="shared" ca="1" si="42"/>
        <v>15060.662490310078</v>
      </c>
      <c r="D467">
        <f t="shared" ca="1" si="43"/>
        <v>12400.417499959449</v>
      </c>
      <c r="E467">
        <f t="shared" ca="1" si="44"/>
        <v>2660.2449903506295</v>
      </c>
    </row>
    <row r="468" spans="2:5" x14ac:dyDescent="0.2">
      <c r="B468" s="156">
        <f t="shared" si="45"/>
        <v>393</v>
      </c>
      <c r="C468">
        <f t="shared" ca="1" si="42"/>
        <v>17759.074317802893</v>
      </c>
      <c r="D468">
        <f t="shared" ca="1" si="43"/>
        <v>9761.5940884905813</v>
      </c>
      <c r="E468">
        <f t="shared" ca="1" si="44"/>
        <v>7997.4802293123121</v>
      </c>
    </row>
    <row r="469" spans="2:5" x14ac:dyDescent="0.2">
      <c r="B469" s="156">
        <f t="shared" si="45"/>
        <v>394</v>
      </c>
      <c r="C469">
        <f t="shared" ca="1" si="42"/>
        <v>11228.431877615814</v>
      </c>
      <c r="D469">
        <f t="shared" ca="1" si="43"/>
        <v>13431.212603233262</v>
      </c>
      <c r="E469">
        <f t="shared" ca="1" si="44"/>
        <v>-2202.7807256174474</v>
      </c>
    </row>
    <row r="470" spans="2:5" x14ac:dyDescent="0.2">
      <c r="B470" s="156">
        <f t="shared" si="45"/>
        <v>395</v>
      </c>
      <c r="C470">
        <f t="shared" ca="1" si="42"/>
        <v>13227.034636219767</v>
      </c>
      <c r="D470">
        <f t="shared" ca="1" si="43"/>
        <v>12930.815481340001</v>
      </c>
      <c r="E470">
        <f t="shared" ca="1" si="44"/>
        <v>296.21915487976548</v>
      </c>
    </row>
    <row r="471" spans="2:5" x14ac:dyDescent="0.2">
      <c r="B471" s="156">
        <f t="shared" si="45"/>
        <v>396</v>
      </c>
      <c r="C471">
        <f t="shared" ca="1" si="42"/>
        <v>15911.582259096123</v>
      </c>
      <c r="D471">
        <f t="shared" ca="1" si="43"/>
        <v>11950.667942637949</v>
      </c>
      <c r="E471">
        <f t="shared" ca="1" si="44"/>
        <v>3960.9143164581747</v>
      </c>
    </row>
    <row r="472" spans="2:5" x14ac:dyDescent="0.2">
      <c r="B472" s="156">
        <f t="shared" si="45"/>
        <v>397</v>
      </c>
      <c r="C472">
        <f t="shared" ca="1" si="42"/>
        <v>16673.142018290757</v>
      </c>
      <c r="D472">
        <f t="shared" ca="1" si="43"/>
        <v>12172.551312631318</v>
      </c>
      <c r="E472">
        <f t="shared" ca="1" si="44"/>
        <v>4500.5907056594388</v>
      </c>
    </row>
    <row r="473" spans="2:5" x14ac:dyDescent="0.2">
      <c r="B473" s="156">
        <f t="shared" si="45"/>
        <v>398</v>
      </c>
      <c r="C473">
        <f t="shared" ca="1" si="42"/>
        <v>14812.099096843798</v>
      </c>
      <c r="D473">
        <f t="shared" ca="1" si="43"/>
        <v>10314.328357897177</v>
      </c>
      <c r="E473">
        <f t="shared" ca="1" si="44"/>
        <v>4497.7707389466213</v>
      </c>
    </row>
    <row r="474" spans="2:5" x14ac:dyDescent="0.2">
      <c r="B474" s="156">
        <f t="shared" si="45"/>
        <v>399</v>
      </c>
      <c r="C474">
        <f t="shared" ca="1" si="42"/>
        <v>16217.540381391113</v>
      </c>
      <c r="D474">
        <f t="shared" ca="1" si="43"/>
        <v>10651.273320923019</v>
      </c>
      <c r="E474">
        <f t="shared" ca="1" si="44"/>
        <v>5566.2670604680934</v>
      </c>
    </row>
    <row r="475" spans="2:5" x14ac:dyDescent="0.2">
      <c r="B475" s="156">
        <f t="shared" si="45"/>
        <v>400</v>
      </c>
      <c r="C475">
        <f t="shared" ca="1" si="42"/>
        <v>14386.650574776628</v>
      </c>
      <c r="D475">
        <f t="shared" ca="1" si="43"/>
        <v>10041.705533214537</v>
      </c>
      <c r="E475">
        <f t="shared" ca="1" si="44"/>
        <v>4344.9450415620904</v>
      </c>
    </row>
    <row r="476" spans="2:5" x14ac:dyDescent="0.2">
      <c r="B476" s="156">
        <f t="shared" si="45"/>
        <v>401</v>
      </c>
      <c r="C476">
        <f t="shared" ca="1" si="42"/>
        <v>14248.530801476931</v>
      </c>
      <c r="D476">
        <f t="shared" ca="1" si="43"/>
        <v>11013.972622788404</v>
      </c>
      <c r="E476">
        <f t="shared" ca="1" si="44"/>
        <v>3234.5581786885268</v>
      </c>
    </row>
    <row r="477" spans="2:5" x14ac:dyDescent="0.2">
      <c r="B477" s="156">
        <f t="shared" si="45"/>
        <v>402</v>
      </c>
      <c r="C477">
        <f t="shared" ca="1" si="42"/>
        <v>14246.868850182484</v>
      </c>
      <c r="D477">
        <f t="shared" ca="1" si="43"/>
        <v>12025.094257601977</v>
      </c>
      <c r="E477">
        <f t="shared" ca="1" si="44"/>
        <v>2221.7745925805066</v>
      </c>
    </row>
    <row r="478" spans="2:5" x14ac:dyDescent="0.2">
      <c r="B478" s="156">
        <f t="shared" si="45"/>
        <v>403</v>
      </c>
      <c r="C478">
        <f t="shared" ca="1" si="42"/>
        <v>13064.56640218294</v>
      </c>
      <c r="D478">
        <f t="shared" ca="1" si="43"/>
        <v>12240.078800001174</v>
      </c>
      <c r="E478">
        <f t="shared" ca="1" si="44"/>
        <v>824.4876021817654</v>
      </c>
    </row>
    <row r="479" spans="2:5" x14ac:dyDescent="0.2">
      <c r="B479" s="156">
        <f t="shared" si="45"/>
        <v>404</v>
      </c>
      <c r="C479">
        <f t="shared" ca="1" si="42"/>
        <v>14554.407671977584</v>
      </c>
      <c r="D479">
        <f t="shared" ca="1" si="43"/>
        <v>12761.484133870768</v>
      </c>
      <c r="E479">
        <f t="shared" ca="1" si="44"/>
        <v>1792.9235381068156</v>
      </c>
    </row>
    <row r="480" spans="2:5" x14ac:dyDescent="0.2">
      <c r="B480" s="156">
        <f t="shared" si="45"/>
        <v>405</v>
      </c>
      <c r="C480">
        <f t="shared" ca="1" si="42"/>
        <v>15216.205536965395</v>
      </c>
      <c r="D480">
        <f t="shared" ca="1" si="43"/>
        <v>10575.145754759871</v>
      </c>
      <c r="E480">
        <f t="shared" ca="1" si="44"/>
        <v>4641.0597822055242</v>
      </c>
    </row>
    <row r="481" spans="2:5" x14ac:dyDescent="0.2">
      <c r="B481" s="156">
        <f t="shared" si="45"/>
        <v>406</v>
      </c>
      <c r="C481">
        <f t="shared" ca="1" si="42"/>
        <v>17802.962133952602</v>
      </c>
      <c r="D481">
        <f t="shared" ca="1" si="43"/>
        <v>13875.184544723545</v>
      </c>
      <c r="E481">
        <f t="shared" ca="1" si="44"/>
        <v>3927.7775892290574</v>
      </c>
    </row>
    <row r="482" spans="2:5" x14ac:dyDescent="0.2">
      <c r="B482" s="156">
        <f t="shared" si="45"/>
        <v>407</v>
      </c>
      <c r="C482">
        <f t="shared" ca="1" si="42"/>
        <v>13988.024475967162</v>
      </c>
      <c r="D482">
        <f t="shared" ca="1" si="43"/>
        <v>11473.759217860195</v>
      </c>
      <c r="E482">
        <f t="shared" ca="1" si="44"/>
        <v>2514.2652581069669</v>
      </c>
    </row>
    <row r="483" spans="2:5" x14ac:dyDescent="0.2">
      <c r="B483" s="156">
        <f t="shared" si="45"/>
        <v>408</v>
      </c>
      <c r="C483">
        <f t="shared" ca="1" si="42"/>
        <v>15016.853507331991</v>
      </c>
      <c r="D483">
        <f t="shared" ca="1" si="43"/>
        <v>10813.513007819851</v>
      </c>
      <c r="E483">
        <f t="shared" ca="1" si="44"/>
        <v>4203.34049951214</v>
      </c>
    </row>
    <row r="484" spans="2:5" x14ac:dyDescent="0.2">
      <c r="B484" s="156">
        <f t="shared" si="45"/>
        <v>409</v>
      </c>
      <c r="C484">
        <f t="shared" ca="1" si="42"/>
        <v>14984.196922841043</v>
      </c>
      <c r="D484">
        <f t="shared" ca="1" si="43"/>
        <v>9176.485690305768</v>
      </c>
      <c r="E484">
        <f t="shared" ca="1" si="44"/>
        <v>5807.7112325352755</v>
      </c>
    </row>
    <row r="485" spans="2:5" x14ac:dyDescent="0.2">
      <c r="B485" s="156">
        <f t="shared" si="45"/>
        <v>410</v>
      </c>
      <c r="C485">
        <f t="shared" ca="1" si="42"/>
        <v>15300.060350278798</v>
      </c>
      <c r="D485">
        <f t="shared" ca="1" si="43"/>
        <v>12028.535697138705</v>
      </c>
      <c r="E485">
        <f t="shared" ca="1" si="44"/>
        <v>3271.5246531400935</v>
      </c>
    </row>
    <row r="486" spans="2:5" x14ac:dyDescent="0.2">
      <c r="B486" s="156">
        <f t="shared" si="45"/>
        <v>411</v>
      </c>
      <c r="C486">
        <f t="shared" ca="1" si="42"/>
        <v>14335.401666256794</v>
      </c>
      <c r="D486">
        <f t="shared" ca="1" si="43"/>
        <v>12219.003719980814</v>
      </c>
      <c r="E486">
        <f t="shared" ca="1" si="44"/>
        <v>2116.3979462759798</v>
      </c>
    </row>
    <row r="487" spans="2:5" x14ac:dyDescent="0.2">
      <c r="B487" s="156">
        <f t="shared" si="45"/>
        <v>412</v>
      </c>
      <c r="C487">
        <f t="shared" ca="1" si="42"/>
        <v>14875.392306680302</v>
      </c>
      <c r="D487">
        <f t="shared" ca="1" si="43"/>
        <v>9920.8137665716222</v>
      </c>
      <c r="E487">
        <f t="shared" ca="1" si="44"/>
        <v>4954.5785401086796</v>
      </c>
    </row>
    <row r="488" spans="2:5" x14ac:dyDescent="0.2">
      <c r="B488" s="156">
        <f t="shared" si="45"/>
        <v>413</v>
      </c>
      <c r="C488">
        <f t="shared" ca="1" si="42"/>
        <v>16875.542941906795</v>
      </c>
      <c r="D488">
        <f t="shared" ca="1" si="43"/>
        <v>12589.433886899033</v>
      </c>
      <c r="E488">
        <f t="shared" ca="1" si="44"/>
        <v>4286.1090550077624</v>
      </c>
    </row>
    <row r="489" spans="2:5" x14ac:dyDescent="0.2">
      <c r="B489" s="156">
        <f t="shared" si="45"/>
        <v>414</v>
      </c>
      <c r="C489">
        <f t="shared" ca="1" si="42"/>
        <v>15390.73690724607</v>
      </c>
      <c r="D489">
        <f t="shared" ca="1" si="43"/>
        <v>10844.177813489574</v>
      </c>
      <c r="E489">
        <f t="shared" ca="1" si="44"/>
        <v>4546.5590937564957</v>
      </c>
    </row>
    <row r="490" spans="2:5" x14ac:dyDescent="0.2">
      <c r="B490" s="156">
        <f t="shared" si="45"/>
        <v>415</v>
      </c>
      <c r="C490">
        <f t="shared" ca="1" si="42"/>
        <v>13506.215877257873</v>
      </c>
      <c r="D490">
        <f t="shared" ca="1" si="43"/>
        <v>10986.758909529655</v>
      </c>
      <c r="E490">
        <f t="shared" ca="1" si="44"/>
        <v>2519.4569677282179</v>
      </c>
    </row>
    <row r="491" spans="2:5" x14ac:dyDescent="0.2">
      <c r="B491" s="156">
        <f t="shared" si="45"/>
        <v>416</v>
      </c>
      <c r="C491">
        <f t="shared" ca="1" si="42"/>
        <v>15059.381448105531</v>
      </c>
      <c r="D491">
        <f t="shared" ca="1" si="43"/>
        <v>12441.665224204806</v>
      </c>
      <c r="E491">
        <f t="shared" ca="1" si="44"/>
        <v>2617.7162239007248</v>
      </c>
    </row>
    <row r="492" spans="2:5" x14ac:dyDescent="0.2">
      <c r="B492" s="156">
        <f t="shared" si="45"/>
        <v>417</v>
      </c>
      <c r="C492">
        <f t="shared" ca="1" si="42"/>
        <v>13327.534872852833</v>
      </c>
      <c r="D492">
        <f t="shared" ca="1" si="43"/>
        <v>15193.844225024566</v>
      </c>
      <c r="E492">
        <f t="shared" ca="1" si="44"/>
        <v>-1866.3093521717328</v>
      </c>
    </row>
    <row r="493" spans="2:5" x14ac:dyDescent="0.2">
      <c r="B493" s="156">
        <f t="shared" si="45"/>
        <v>418</v>
      </c>
      <c r="C493">
        <f t="shared" ca="1" si="42"/>
        <v>15596.348756473846</v>
      </c>
      <c r="D493">
        <f t="shared" ca="1" si="43"/>
        <v>12749.821489079937</v>
      </c>
      <c r="E493">
        <f t="shared" ca="1" si="44"/>
        <v>2846.5272673939089</v>
      </c>
    </row>
    <row r="494" spans="2:5" x14ac:dyDescent="0.2">
      <c r="B494" s="156">
        <f t="shared" si="45"/>
        <v>419</v>
      </c>
      <c r="C494">
        <f t="shared" ca="1" si="42"/>
        <v>11081.268847371453</v>
      </c>
      <c r="D494">
        <f t="shared" ca="1" si="43"/>
        <v>11599.273315003982</v>
      </c>
      <c r="E494">
        <f t="shared" ca="1" si="44"/>
        <v>-518.00446763252876</v>
      </c>
    </row>
    <row r="495" spans="2:5" x14ac:dyDescent="0.2">
      <c r="B495" s="156">
        <f t="shared" si="45"/>
        <v>420</v>
      </c>
      <c r="C495">
        <f t="shared" ca="1" si="42"/>
        <v>15571.83386343406</v>
      </c>
      <c r="D495">
        <f t="shared" ca="1" si="43"/>
        <v>12440.589638138816</v>
      </c>
      <c r="E495">
        <f t="shared" ca="1" si="44"/>
        <v>3131.2442252952442</v>
      </c>
    </row>
    <row r="496" spans="2:5" x14ac:dyDescent="0.2">
      <c r="B496" s="156">
        <f t="shared" si="45"/>
        <v>421</v>
      </c>
      <c r="C496">
        <f t="shared" ca="1" si="42"/>
        <v>17756.854517530017</v>
      </c>
      <c r="D496">
        <f t="shared" ca="1" si="43"/>
        <v>10352.872242377349</v>
      </c>
      <c r="E496">
        <f t="shared" ca="1" si="44"/>
        <v>7403.9822751526681</v>
      </c>
    </row>
    <row r="497" spans="2:5" x14ac:dyDescent="0.2">
      <c r="B497" s="156">
        <f t="shared" si="45"/>
        <v>422</v>
      </c>
      <c r="C497">
        <f t="shared" ca="1" si="42"/>
        <v>15673.433079989411</v>
      </c>
      <c r="D497">
        <f t="shared" ca="1" si="43"/>
        <v>12037.426736604299</v>
      </c>
      <c r="E497">
        <f t="shared" ca="1" si="44"/>
        <v>3636.0063433851119</v>
      </c>
    </row>
    <row r="498" spans="2:5" x14ac:dyDescent="0.2">
      <c r="B498" s="156">
        <f t="shared" si="45"/>
        <v>423</v>
      </c>
      <c r="C498">
        <f t="shared" ca="1" si="42"/>
        <v>13874.288045803989</v>
      </c>
      <c r="D498">
        <f t="shared" ca="1" si="43"/>
        <v>13131.817915855176</v>
      </c>
      <c r="E498">
        <f t="shared" ca="1" si="44"/>
        <v>742.47012994881334</v>
      </c>
    </row>
    <row r="499" spans="2:5" x14ac:dyDescent="0.2">
      <c r="B499" s="156">
        <f t="shared" si="45"/>
        <v>424</v>
      </c>
      <c r="C499">
        <f t="shared" ca="1" si="42"/>
        <v>14513.941650460842</v>
      </c>
      <c r="D499">
        <f t="shared" ca="1" si="43"/>
        <v>11942.455858647056</v>
      </c>
      <c r="E499">
        <f t="shared" ca="1" si="44"/>
        <v>2571.4857918137859</v>
      </c>
    </row>
    <row r="500" spans="2:5" x14ac:dyDescent="0.2">
      <c r="B500" s="156">
        <f t="shared" si="45"/>
        <v>425</v>
      </c>
      <c r="C500">
        <f t="shared" ca="1" si="42"/>
        <v>13698.738028682747</v>
      </c>
      <c r="D500">
        <f t="shared" ca="1" si="43"/>
        <v>11636.281343198774</v>
      </c>
      <c r="E500">
        <f t="shared" ca="1" si="44"/>
        <v>2062.4566854839723</v>
      </c>
    </row>
    <row r="501" spans="2:5" x14ac:dyDescent="0.2">
      <c r="B501" s="156">
        <f t="shared" si="45"/>
        <v>426</v>
      </c>
      <c r="C501">
        <f t="shared" ca="1" si="42"/>
        <v>13524.40308110741</v>
      </c>
      <c r="D501">
        <f t="shared" ca="1" si="43"/>
        <v>12073.504400708915</v>
      </c>
      <c r="E501">
        <f t="shared" ca="1" si="44"/>
        <v>1450.8986803984953</v>
      </c>
    </row>
    <row r="502" spans="2:5" x14ac:dyDescent="0.2">
      <c r="B502" s="156">
        <f t="shared" si="45"/>
        <v>427</v>
      </c>
      <c r="C502">
        <f t="shared" ca="1" si="42"/>
        <v>15209.137736968494</v>
      </c>
      <c r="D502">
        <f t="shared" ca="1" si="43"/>
        <v>11915.191948372356</v>
      </c>
      <c r="E502">
        <f t="shared" ca="1" si="44"/>
        <v>3293.9457885961383</v>
      </c>
    </row>
    <row r="503" spans="2:5" x14ac:dyDescent="0.2">
      <c r="B503" s="156">
        <f t="shared" si="45"/>
        <v>428</v>
      </c>
      <c r="C503">
        <f t="shared" ca="1" si="42"/>
        <v>13258.150177017442</v>
      </c>
      <c r="D503">
        <f t="shared" ca="1" si="43"/>
        <v>10096.683260190557</v>
      </c>
      <c r="E503">
        <f t="shared" ca="1" si="44"/>
        <v>3161.4669168268847</v>
      </c>
    </row>
    <row r="504" spans="2:5" x14ac:dyDescent="0.2">
      <c r="B504" s="156">
        <f t="shared" si="45"/>
        <v>429</v>
      </c>
      <c r="C504">
        <f t="shared" ca="1" si="42"/>
        <v>13439.372434077346</v>
      </c>
      <c r="D504">
        <f t="shared" ca="1" si="43"/>
        <v>12264.161086328859</v>
      </c>
      <c r="E504">
        <f t="shared" ca="1" si="44"/>
        <v>1175.2113477484872</v>
      </c>
    </row>
    <row r="505" spans="2:5" x14ac:dyDescent="0.2">
      <c r="B505" s="156">
        <f t="shared" si="45"/>
        <v>430</v>
      </c>
      <c r="C505">
        <f t="shared" ca="1" si="42"/>
        <v>12343.862009328453</v>
      </c>
      <c r="D505">
        <f t="shared" ca="1" si="43"/>
        <v>11682.540331167969</v>
      </c>
      <c r="E505">
        <f t="shared" ca="1" si="44"/>
        <v>661.32167816048423</v>
      </c>
    </row>
    <row r="506" spans="2:5" x14ac:dyDescent="0.2">
      <c r="B506" s="156">
        <f t="shared" si="45"/>
        <v>431</v>
      </c>
      <c r="C506">
        <f t="shared" ca="1" si="42"/>
        <v>15619.393263690185</v>
      </c>
      <c r="D506">
        <f t="shared" ca="1" si="43"/>
        <v>13242.337378324817</v>
      </c>
      <c r="E506">
        <f t="shared" ca="1" si="44"/>
        <v>2377.0558853653674</v>
      </c>
    </row>
    <row r="507" spans="2:5" x14ac:dyDescent="0.2">
      <c r="B507" s="156">
        <f t="shared" si="45"/>
        <v>432</v>
      </c>
      <c r="C507">
        <f t="shared" ca="1" si="42"/>
        <v>15872.320313681494</v>
      </c>
      <c r="D507">
        <f t="shared" ca="1" si="43"/>
        <v>14053.617001879316</v>
      </c>
      <c r="E507">
        <f t="shared" ca="1" si="44"/>
        <v>1818.7033118021773</v>
      </c>
    </row>
    <row r="508" spans="2:5" x14ac:dyDescent="0.2">
      <c r="B508" s="156">
        <f t="shared" si="45"/>
        <v>433</v>
      </c>
      <c r="C508">
        <f t="shared" ca="1" si="42"/>
        <v>14262.497256464609</v>
      </c>
      <c r="D508">
        <f t="shared" ca="1" si="43"/>
        <v>12797.489800702135</v>
      </c>
      <c r="E508">
        <f t="shared" ca="1" si="44"/>
        <v>1465.0074557624739</v>
      </c>
    </row>
    <row r="509" spans="2:5" x14ac:dyDescent="0.2">
      <c r="B509" s="156">
        <f t="shared" si="45"/>
        <v>434</v>
      </c>
      <c r="C509">
        <f t="shared" ca="1" si="42"/>
        <v>12061.889906031103</v>
      </c>
      <c r="D509">
        <f t="shared" ca="1" si="43"/>
        <v>12653.790214973165</v>
      </c>
      <c r="E509">
        <f t="shared" ca="1" si="44"/>
        <v>-591.90030894206211</v>
      </c>
    </row>
    <row r="510" spans="2:5" x14ac:dyDescent="0.2">
      <c r="B510" s="156">
        <f t="shared" si="45"/>
        <v>435</v>
      </c>
      <c r="C510">
        <f t="shared" ca="1" si="42"/>
        <v>13904.613395026548</v>
      </c>
      <c r="D510">
        <f t="shared" ca="1" si="43"/>
        <v>12742.148104415408</v>
      </c>
      <c r="E510">
        <f t="shared" ca="1" si="44"/>
        <v>1162.4652906111405</v>
      </c>
    </row>
    <row r="511" spans="2:5" x14ac:dyDescent="0.2">
      <c r="B511" s="156">
        <f t="shared" si="45"/>
        <v>436</v>
      </c>
      <c r="C511">
        <f t="shared" ca="1" si="42"/>
        <v>11342.703484076053</v>
      </c>
      <c r="D511">
        <f t="shared" ca="1" si="43"/>
        <v>11156.234811602741</v>
      </c>
      <c r="E511">
        <f t="shared" ca="1" si="44"/>
        <v>186.46867247331284</v>
      </c>
    </row>
    <row r="512" spans="2:5" x14ac:dyDescent="0.2">
      <c r="B512" s="156">
        <f t="shared" si="45"/>
        <v>437</v>
      </c>
      <c r="C512">
        <f t="shared" ca="1" si="42"/>
        <v>14977.337996449553</v>
      </c>
      <c r="D512">
        <f t="shared" ca="1" si="43"/>
        <v>11686.47752318052</v>
      </c>
      <c r="E512">
        <f t="shared" ca="1" si="44"/>
        <v>3290.8604732690328</v>
      </c>
    </row>
    <row r="513" spans="2:5" x14ac:dyDescent="0.2">
      <c r="B513" s="156">
        <f t="shared" si="45"/>
        <v>438</v>
      </c>
      <c r="C513">
        <f t="shared" ca="1" si="42"/>
        <v>13953.401837159803</v>
      </c>
      <c r="D513">
        <f t="shared" ca="1" si="43"/>
        <v>13265.691510532444</v>
      </c>
      <c r="E513">
        <f t="shared" ca="1" si="44"/>
        <v>687.71032662735888</v>
      </c>
    </row>
    <row r="514" spans="2:5" x14ac:dyDescent="0.2">
      <c r="B514" s="156">
        <f t="shared" si="45"/>
        <v>439</v>
      </c>
      <c r="C514">
        <f t="shared" ca="1" si="42"/>
        <v>15575.24581861057</v>
      </c>
      <c r="D514">
        <f t="shared" ca="1" si="43"/>
        <v>11141.370597655583</v>
      </c>
      <c r="E514">
        <f t="shared" ca="1" si="44"/>
        <v>4433.8752209549875</v>
      </c>
    </row>
    <row r="515" spans="2:5" x14ac:dyDescent="0.2">
      <c r="B515" s="156">
        <f t="shared" si="45"/>
        <v>440</v>
      </c>
      <c r="C515">
        <f t="shared" ca="1" si="42"/>
        <v>15179.093478680714</v>
      </c>
      <c r="D515">
        <f t="shared" ca="1" si="43"/>
        <v>13384.656964459389</v>
      </c>
      <c r="E515">
        <f t="shared" ca="1" si="44"/>
        <v>1794.4365142213246</v>
      </c>
    </row>
    <row r="516" spans="2:5" x14ac:dyDescent="0.2">
      <c r="B516" s="156">
        <f t="shared" si="45"/>
        <v>441</v>
      </c>
      <c r="C516">
        <f t="shared" ca="1" si="42"/>
        <v>14182.443886631936</v>
      </c>
      <c r="D516">
        <f t="shared" ca="1" si="43"/>
        <v>11641.241150188476</v>
      </c>
      <c r="E516">
        <f t="shared" ca="1" si="44"/>
        <v>2541.2027364434598</v>
      </c>
    </row>
    <row r="517" spans="2:5" x14ac:dyDescent="0.2">
      <c r="B517" s="156">
        <f t="shared" si="45"/>
        <v>442</v>
      </c>
      <c r="C517">
        <f t="shared" ca="1" si="42"/>
        <v>14924.124580475935</v>
      </c>
      <c r="D517">
        <f t="shared" ca="1" si="43"/>
        <v>11442.984620462272</v>
      </c>
      <c r="E517">
        <f t="shared" ca="1" si="44"/>
        <v>3481.1399600136629</v>
      </c>
    </row>
    <row r="518" spans="2:5" x14ac:dyDescent="0.2">
      <c r="B518" s="156">
        <f t="shared" si="45"/>
        <v>443</v>
      </c>
      <c r="C518">
        <f t="shared" ca="1" si="42"/>
        <v>14662.033916074504</v>
      </c>
      <c r="D518">
        <f t="shared" ca="1" si="43"/>
        <v>10908.385707532789</v>
      </c>
      <c r="E518">
        <f t="shared" ca="1" si="44"/>
        <v>3753.6482085417156</v>
      </c>
    </row>
    <row r="519" spans="2:5" x14ac:dyDescent="0.2">
      <c r="B519" s="156">
        <f t="shared" si="45"/>
        <v>444</v>
      </c>
      <c r="C519">
        <f t="shared" ca="1" si="42"/>
        <v>14336.657746405699</v>
      </c>
      <c r="D519">
        <f t="shared" ca="1" si="43"/>
        <v>12206.655354335475</v>
      </c>
      <c r="E519">
        <f t="shared" ca="1" si="44"/>
        <v>2130.0023920702242</v>
      </c>
    </row>
    <row r="520" spans="2:5" x14ac:dyDescent="0.2">
      <c r="B520" s="156">
        <f t="shared" si="45"/>
        <v>445</v>
      </c>
      <c r="C520">
        <f t="shared" ca="1" si="42"/>
        <v>15905.593146353043</v>
      </c>
      <c r="D520">
        <f t="shared" ca="1" si="43"/>
        <v>12847.37910290463</v>
      </c>
      <c r="E520">
        <f t="shared" ca="1" si="44"/>
        <v>3058.2140434484136</v>
      </c>
    </row>
    <row r="521" spans="2:5" x14ac:dyDescent="0.2">
      <c r="B521" s="156">
        <f t="shared" si="45"/>
        <v>446</v>
      </c>
      <c r="C521">
        <f t="shared" ca="1" si="42"/>
        <v>13681.816086434881</v>
      </c>
      <c r="D521">
        <f t="shared" ca="1" si="43"/>
        <v>10926.002179626221</v>
      </c>
      <c r="E521">
        <f t="shared" ca="1" si="44"/>
        <v>2755.8139068086602</v>
      </c>
    </row>
    <row r="522" spans="2:5" x14ac:dyDescent="0.2">
      <c r="B522" s="156">
        <f t="shared" si="45"/>
        <v>447</v>
      </c>
      <c r="C522">
        <f t="shared" ca="1" si="42"/>
        <v>13756.992538170609</v>
      </c>
      <c r="D522">
        <f t="shared" ca="1" si="43"/>
        <v>12702.678228532894</v>
      </c>
      <c r="E522">
        <f t="shared" ca="1" si="44"/>
        <v>1054.3143096377153</v>
      </c>
    </row>
    <row r="523" spans="2:5" x14ac:dyDescent="0.2">
      <c r="B523" s="156">
        <f t="shared" si="45"/>
        <v>448</v>
      </c>
      <c r="C523">
        <f t="shared" ca="1" si="42"/>
        <v>14073.296797723046</v>
      </c>
      <c r="D523">
        <f t="shared" ca="1" si="43"/>
        <v>10635.324465574284</v>
      </c>
      <c r="E523">
        <f t="shared" ca="1" si="44"/>
        <v>3437.9723321487618</v>
      </c>
    </row>
    <row r="524" spans="2:5" x14ac:dyDescent="0.2">
      <c r="B524" s="156">
        <f t="shared" si="45"/>
        <v>449</v>
      </c>
      <c r="C524">
        <f t="shared" ca="1" si="42"/>
        <v>15203.590046723171</v>
      </c>
      <c r="D524">
        <f t="shared" ca="1" si="43"/>
        <v>11030.189361846546</v>
      </c>
      <c r="E524">
        <f t="shared" ca="1" si="44"/>
        <v>4173.4006848766257</v>
      </c>
    </row>
    <row r="525" spans="2:5" x14ac:dyDescent="0.2">
      <c r="B525" s="156">
        <f t="shared" si="45"/>
        <v>450</v>
      </c>
      <c r="C525">
        <f t="shared" ref="C525:C588" ca="1" si="46">$C$70*(1+_xlfn.NORM.S.INV(RAND())*$C$72)</f>
        <v>13919.171527533206</v>
      </c>
      <c r="D525">
        <f t="shared" ref="D525:D588" ca="1" si="47">$C$71*(1+_xlfn.NORM.S.INV(RAND())*$C$73)</f>
        <v>11093.986051094367</v>
      </c>
      <c r="E525">
        <f t="shared" ref="E525:E588" ca="1" si="48">C525-D525</f>
        <v>2825.185476438839</v>
      </c>
    </row>
    <row r="526" spans="2:5" x14ac:dyDescent="0.2">
      <c r="B526" s="156">
        <f t="shared" ref="B526:B589" si="49">B525+1</f>
        <v>451</v>
      </c>
      <c r="C526">
        <f t="shared" ca="1" si="46"/>
        <v>15760.050011436921</v>
      </c>
      <c r="D526">
        <f t="shared" ca="1" si="47"/>
        <v>11333.977513980868</v>
      </c>
      <c r="E526">
        <f t="shared" ca="1" si="48"/>
        <v>4426.0724974560526</v>
      </c>
    </row>
    <row r="527" spans="2:5" x14ac:dyDescent="0.2">
      <c r="B527" s="156">
        <f t="shared" si="49"/>
        <v>452</v>
      </c>
      <c r="C527">
        <f t="shared" ca="1" si="46"/>
        <v>14684.086000470863</v>
      </c>
      <c r="D527">
        <f t="shared" ca="1" si="47"/>
        <v>11931.399957343025</v>
      </c>
      <c r="E527">
        <f t="shared" ca="1" si="48"/>
        <v>2752.6860431278383</v>
      </c>
    </row>
    <row r="528" spans="2:5" x14ac:dyDescent="0.2">
      <c r="B528" s="156">
        <f t="shared" si="49"/>
        <v>453</v>
      </c>
      <c r="C528">
        <f t="shared" ca="1" si="46"/>
        <v>12487.925960634693</v>
      </c>
      <c r="D528">
        <f t="shared" ca="1" si="47"/>
        <v>11972.282699803414</v>
      </c>
      <c r="E528">
        <f t="shared" ca="1" si="48"/>
        <v>515.64326083127889</v>
      </c>
    </row>
    <row r="529" spans="2:5" x14ac:dyDescent="0.2">
      <c r="B529" s="156">
        <f t="shared" si="49"/>
        <v>454</v>
      </c>
      <c r="C529">
        <f t="shared" ca="1" si="46"/>
        <v>13461.28462078697</v>
      </c>
      <c r="D529">
        <f t="shared" ca="1" si="47"/>
        <v>13278.728940112824</v>
      </c>
      <c r="E529">
        <f t="shared" ca="1" si="48"/>
        <v>182.55568067414606</v>
      </c>
    </row>
    <row r="530" spans="2:5" x14ac:dyDescent="0.2">
      <c r="B530" s="156">
        <f t="shared" si="49"/>
        <v>455</v>
      </c>
      <c r="C530">
        <f t="shared" ca="1" si="46"/>
        <v>13233.737863603616</v>
      </c>
      <c r="D530">
        <f t="shared" ca="1" si="47"/>
        <v>10900.273321672674</v>
      </c>
      <c r="E530">
        <f t="shared" ca="1" si="48"/>
        <v>2333.4645419309418</v>
      </c>
    </row>
    <row r="531" spans="2:5" x14ac:dyDescent="0.2">
      <c r="B531" s="156">
        <f t="shared" si="49"/>
        <v>456</v>
      </c>
      <c r="C531">
        <f t="shared" ca="1" si="46"/>
        <v>16851.777909265798</v>
      </c>
      <c r="D531">
        <f t="shared" ca="1" si="47"/>
        <v>12324.493267632612</v>
      </c>
      <c r="E531">
        <f t="shared" ca="1" si="48"/>
        <v>4527.2846416331868</v>
      </c>
    </row>
    <row r="532" spans="2:5" x14ac:dyDescent="0.2">
      <c r="B532" s="156">
        <f t="shared" si="49"/>
        <v>457</v>
      </c>
      <c r="C532">
        <f t="shared" ca="1" si="46"/>
        <v>14840.077589589131</v>
      </c>
      <c r="D532">
        <f t="shared" ca="1" si="47"/>
        <v>10595.822308099388</v>
      </c>
      <c r="E532">
        <f t="shared" ca="1" si="48"/>
        <v>4244.2552814897426</v>
      </c>
    </row>
    <row r="533" spans="2:5" x14ac:dyDescent="0.2">
      <c r="B533" s="156">
        <f t="shared" si="49"/>
        <v>458</v>
      </c>
      <c r="C533">
        <f t="shared" ca="1" si="46"/>
        <v>13625.595632881961</v>
      </c>
      <c r="D533">
        <f t="shared" ca="1" si="47"/>
        <v>11647.456130406679</v>
      </c>
      <c r="E533">
        <f t="shared" ca="1" si="48"/>
        <v>1978.1395024752819</v>
      </c>
    </row>
    <row r="534" spans="2:5" x14ac:dyDescent="0.2">
      <c r="B534" s="156">
        <f t="shared" si="49"/>
        <v>459</v>
      </c>
      <c r="C534">
        <f t="shared" ca="1" si="46"/>
        <v>16259.062025444828</v>
      </c>
      <c r="D534">
        <f t="shared" ca="1" si="47"/>
        <v>12283.253320989545</v>
      </c>
      <c r="E534">
        <f t="shared" ca="1" si="48"/>
        <v>3975.8087044552831</v>
      </c>
    </row>
    <row r="535" spans="2:5" x14ac:dyDescent="0.2">
      <c r="B535" s="156">
        <f t="shared" si="49"/>
        <v>460</v>
      </c>
      <c r="C535">
        <f t="shared" ca="1" si="46"/>
        <v>18491.098781882152</v>
      </c>
      <c r="D535">
        <f t="shared" ca="1" si="47"/>
        <v>12017.562340375689</v>
      </c>
      <c r="E535">
        <f t="shared" ca="1" si="48"/>
        <v>6473.5364415064632</v>
      </c>
    </row>
    <row r="536" spans="2:5" x14ac:dyDescent="0.2">
      <c r="B536" s="156">
        <f t="shared" si="49"/>
        <v>461</v>
      </c>
      <c r="C536">
        <f t="shared" ca="1" si="46"/>
        <v>12445.099779694894</v>
      </c>
      <c r="D536">
        <f t="shared" ca="1" si="47"/>
        <v>12659.479606184916</v>
      </c>
      <c r="E536">
        <f t="shared" ca="1" si="48"/>
        <v>-214.37982649002151</v>
      </c>
    </row>
    <row r="537" spans="2:5" x14ac:dyDescent="0.2">
      <c r="B537" s="156">
        <f t="shared" si="49"/>
        <v>462</v>
      </c>
      <c r="C537">
        <f t="shared" ca="1" si="46"/>
        <v>15140.156867691783</v>
      </c>
      <c r="D537">
        <f t="shared" ca="1" si="47"/>
        <v>12238.278037350135</v>
      </c>
      <c r="E537">
        <f t="shared" ca="1" si="48"/>
        <v>2901.8788303416477</v>
      </c>
    </row>
    <row r="538" spans="2:5" x14ac:dyDescent="0.2">
      <c r="B538" s="156">
        <f t="shared" si="49"/>
        <v>463</v>
      </c>
      <c r="C538">
        <f t="shared" ca="1" si="46"/>
        <v>12614.133116186125</v>
      </c>
      <c r="D538">
        <f t="shared" ca="1" si="47"/>
        <v>13935.431872210451</v>
      </c>
      <c r="E538">
        <f t="shared" ca="1" si="48"/>
        <v>-1321.2987560243255</v>
      </c>
    </row>
    <row r="539" spans="2:5" x14ac:dyDescent="0.2">
      <c r="B539" s="156">
        <f t="shared" si="49"/>
        <v>464</v>
      </c>
      <c r="C539">
        <f t="shared" ca="1" si="46"/>
        <v>14736.292241476456</v>
      </c>
      <c r="D539">
        <f t="shared" ca="1" si="47"/>
        <v>13705.916968090498</v>
      </c>
      <c r="E539">
        <f t="shared" ca="1" si="48"/>
        <v>1030.3752733859583</v>
      </c>
    </row>
    <row r="540" spans="2:5" x14ac:dyDescent="0.2">
      <c r="B540" s="156">
        <f t="shared" si="49"/>
        <v>465</v>
      </c>
      <c r="C540">
        <f t="shared" ca="1" si="46"/>
        <v>13303.388143840415</v>
      </c>
      <c r="D540">
        <f t="shared" ca="1" si="47"/>
        <v>9925.9821874895788</v>
      </c>
      <c r="E540">
        <f t="shared" ca="1" si="48"/>
        <v>3377.4059563508363</v>
      </c>
    </row>
    <row r="541" spans="2:5" x14ac:dyDescent="0.2">
      <c r="B541" s="156">
        <f t="shared" si="49"/>
        <v>466</v>
      </c>
      <c r="C541">
        <f t="shared" ca="1" si="46"/>
        <v>13765.259409771297</v>
      </c>
      <c r="D541">
        <f t="shared" ca="1" si="47"/>
        <v>13415.578734118095</v>
      </c>
      <c r="E541">
        <f t="shared" ca="1" si="48"/>
        <v>349.68067565320234</v>
      </c>
    </row>
    <row r="542" spans="2:5" x14ac:dyDescent="0.2">
      <c r="B542" s="156">
        <f t="shared" si="49"/>
        <v>467</v>
      </c>
      <c r="C542">
        <f t="shared" ca="1" si="46"/>
        <v>15149.64654382598</v>
      </c>
      <c r="D542">
        <f t="shared" ca="1" si="47"/>
        <v>11221.318621588338</v>
      </c>
      <c r="E542">
        <f t="shared" ca="1" si="48"/>
        <v>3928.3279222376423</v>
      </c>
    </row>
    <row r="543" spans="2:5" x14ac:dyDescent="0.2">
      <c r="B543" s="156">
        <f t="shared" si="49"/>
        <v>468</v>
      </c>
      <c r="C543">
        <f t="shared" ca="1" si="46"/>
        <v>15785.374034429777</v>
      </c>
      <c r="D543">
        <f t="shared" ca="1" si="47"/>
        <v>11952.566404886751</v>
      </c>
      <c r="E543">
        <f t="shared" ca="1" si="48"/>
        <v>3832.8076295430255</v>
      </c>
    </row>
    <row r="544" spans="2:5" x14ac:dyDescent="0.2">
      <c r="B544" s="156">
        <f t="shared" si="49"/>
        <v>469</v>
      </c>
      <c r="C544">
        <f t="shared" ca="1" si="46"/>
        <v>12057.32277857087</v>
      </c>
      <c r="D544">
        <f t="shared" ca="1" si="47"/>
        <v>13520.711597188434</v>
      </c>
      <c r="E544">
        <f t="shared" ca="1" si="48"/>
        <v>-1463.3888186175645</v>
      </c>
    </row>
    <row r="545" spans="2:5" x14ac:dyDescent="0.2">
      <c r="B545" s="156">
        <f t="shared" si="49"/>
        <v>470</v>
      </c>
      <c r="C545">
        <f t="shared" ca="1" si="46"/>
        <v>12390.285174748013</v>
      </c>
      <c r="D545">
        <f t="shared" ca="1" si="47"/>
        <v>12559.398648907647</v>
      </c>
      <c r="E545">
        <f t="shared" ca="1" si="48"/>
        <v>-169.11347415963428</v>
      </c>
    </row>
    <row r="546" spans="2:5" x14ac:dyDescent="0.2">
      <c r="B546" s="156">
        <f t="shared" si="49"/>
        <v>471</v>
      </c>
      <c r="C546">
        <f t="shared" ca="1" si="46"/>
        <v>16092.316531077373</v>
      </c>
      <c r="D546">
        <f t="shared" ca="1" si="47"/>
        <v>10300.739198080895</v>
      </c>
      <c r="E546">
        <f t="shared" ca="1" si="48"/>
        <v>5791.5773329964777</v>
      </c>
    </row>
    <row r="547" spans="2:5" x14ac:dyDescent="0.2">
      <c r="B547" s="156">
        <f t="shared" si="49"/>
        <v>472</v>
      </c>
      <c r="C547">
        <f t="shared" ca="1" si="46"/>
        <v>15568.506289962836</v>
      </c>
      <c r="D547">
        <f t="shared" ca="1" si="47"/>
        <v>11756.85547763899</v>
      </c>
      <c r="E547">
        <f t="shared" ca="1" si="48"/>
        <v>3811.6508123238455</v>
      </c>
    </row>
    <row r="548" spans="2:5" x14ac:dyDescent="0.2">
      <c r="B548" s="156">
        <f t="shared" si="49"/>
        <v>473</v>
      </c>
      <c r="C548">
        <f t="shared" ca="1" si="46"/>
        <v>13141.901076492793</v>
      </c>
      <c r="D548">
        <f t="shared" ca="1" si="47"/>
        <v>12644.307358732931</v>
      </c>
      <c r="E548">
        <f t="shared" ca="1" si="48"/>
        <v>497.59371775986256</v>
      </c>
    </row>
    <row r="549" spans="2:5" x14ac:dyDescent="0.2">
      <c r="B549" s="156">
        <f t="shared" si="49"/>
        <v>474</v>
      </c>
      <c r="C549">
        <f t="shared" ca="1" si="46"/>
        <v>13035.309815330687</v>
      </c>
      <c r="D549">
        <f t="shared" ca="1" si="47"/>
        <v>12438.993619212748</v>
      </c>
      <c r="E549">
        <f t="shared" ca="1" si="48"/>
        <v>596.3161961179394</v>
      </c>
    </row>
    <row r="550" spans="2:5" x14ac:dyDescent="0.2">
      <c r="B550" s="156">
        <f t="shared" si="49"/>
        <v>475</v>
      </c>
      <c r="C550">
        <f t="shared" ca="1" si="46"/>
        <v>14850.058155400844</v>
      </c>
      <c r="D550">
        <f t="shared" ca="1" si="47"/>
        <v>11392.175733191652</v>
      </c>
      <c r="E550">
        <f t="shared" ca="1" si="48"/>
        <v>3457.8824222091916</v>
      </c>
    </row>
    <row r="551" spans="2:5" x14ac:dyDescent="0.2">
      <c r="B551" s="156">
        <f t="shared" si="49"/>
        <v>476</v>
      </c>
      <c r="C551">
        <f t="shared" ca="1" si="46"/>
        <v>15128.522812584521</v>
      </c>
      <c r="D551">
        <f t="shared" ca="1" si="47"/>
        <v>12002.304463234272</v>
      </c>
      <c r="E551">
        <f t="shared" ca="1" si="48"/>
        <v>3126.2183493502489</v>
      </c>
    </row>
    <row r="552" spans="2:5" x14ac:dyDescent="0.2">
      <c r="B552" s="156">
        <f t="shared" si="49"/>
        <v>477</v>
      </c>
      <c r="C552">
        <f t="shared" ca="1" si="46"/>
        <v>14409.741587726265</v>
      </c>
      <c r="D552">
        <f t="shared" ca="1" si="47"/>
        <v>11583.860167585706</v>
      </c>
      <c r="E552">
        <f t="shared" ca="1" si="48"/>
        <v>2825.8814201405585</v>
      </c>
    </row>
    <row r="553" spans="2:5" x14ac:dyDescent="0.2">
      <c r="B553" s="156">
        <f t="shared" si="49"/>
        <v>478</v>
      </c>
      <c r="C553">
        <f t="shared" ca="1" si="46"/>
        <v>14816.675371204567</v>
      </c>
      <c r="D553">
        <f t="shared" ca="1" si="47"/>
        <v>11932.006387025183</v>
      </c>
      <c r="E553">
        <f t="shared" ca="1" si="48"/>
        <v>2884.6689841793832</v>
      </c>
    </row>
    <row r="554" spans="2:5" x14ac:dyDescent="0.2">
      <c r="B554" s="156">
        <f t="shared" si="49"/>
        <v>479</v>
      </c>
      <c r="C554">
        <f t="shared" ca="1" si="46"/>
        <v>13397.037006587308</v>
      </c>
      <c r="D554">
        <f t="shared" ca="1" si="47"/>
        <v>12717.522014268341</v>
      </c>
      <c r="E554">
        <f t="shared" ca="1" si="48"/>
        <v>679.51499231896742</v>
      </c>
    </row>
    <row r="555" spans="2:5" x14ac:dyDescent="0.2">
      <c r="B555" s="156">
        <f t="shared" si="49"/>
        <v>480</v>
      </c>
      <c r="C555">
        <f t="shared" ca="1" si="46"/>
        <v>14658.040808200885</v>
      </c>
      <c r="D555">
        <f t="shared" ca="1" si="47"/>
        <v>13383.370816375591</v>
      </c>
      <c r="E555">
        <f t="shared" ca="1" si="48"/>
        <v>1274.6699918252943</v>
      </c>
    </row>
    <row r="556" spans="2:5" x14ac:dyDescent="0.2">
      <c r="B556" s="156">
        <f t="shared" si="49"/>
        <v>481</v>
      </c>
      <c r="C556">
        <f t="shared" ca="1" si="46"/>
        <v>13443.747074559364</v>
      </c>
      <c r="D556">
        <f t="shared" ca="1" si="47"/>
        <v>12425.738303095708</v>
      </c>
      <c r="E556">
        <f t="shared" ca="1" si="48"/>
        <v>1018.0087714636556</v>
      </c>
    </row>
    <row r="557" spans="2:5" x14ac:dyDescent="0.2">
      <c r="B557" s="156">
        <f t="shared" si="49"/>
        <v>482</v>
      </c>
      <c r="C557">
        <f t="shared" ca="1" si="46"/>
        <v>13566.587478340944</v>
      </c>
      <c r="D557">
        <f t="shared" ca="1" si="47"/>
        <v>12034.64425187823</v>
      </c>
      <c r="E557">
        <f t="shared" ca="1" si="48"/>
        <v>1531.9432264627139</v>
      </c>
    </row>
    <row r="558" spans="2:5" x14ac:dyDescent="0.2">
      <c r="B558" s="156">
        <f t="shared" si="49"/>
        <v>483</v>
      </c>
      <c r="C558">
        <f t="shared" ca="1" si="46"/>
        <v>16152.576237659874</v>
      </c>
      <c r="D558">
        <f t="shared" ca="1" si="47"/>
        <v>11330.02159252234</v>
      </c>
      <c r="E558">
        <f t="shared" ca="1" si="48"/>
        <v>4822.554645137534</v>
      </c>
    </row>
    <row r="559" spans="2:5" x14ac:dyDescent="0.2">
      <c r="B559" s="156">
        <f t="shared" si="49"/>
        <v>484</v>
      </c>
      <c r="C559">
        <f t="shared" ca="1" si="46"/>
        <v>14858.803022546736</v>
      </c>
      <c r="D559">
        <f t="shared" ca="1" si="47"/>
        <v>10633.422123032302</v>
      </c>
      <c r="E559">
        <f t="shared" ca="1" si="48"/>
        <v>4225.3808995144336</v>
      </c>
    </row>
    <row r="560" spans="2:5" x14ac:dyDescent="0.2">
      <c r="B560" s="156">
        <f t="shared" si="49"/>
        <v>485</v>
      </c>
      <c r="C560">
        <f t="shared" ca="1" si="46"/>
        <v>14285.536231954684</v>
      </c>
      <c r="D560">
        <f t="shared" ca="1" si="47"/>
        <v>13030.667729321283</v>
      </c>
      <c r="E560">
        <f t="shared" ca="1" si="48"/>
        <v>1254.8685026334006</v>
      </c>
    </row>
    <row r="561" spans="2:5" x14ac:dyDescent="0.2">
      <c r="B561" s="156">
        <f t="shared" si="49"/>
        <v>486</v>
      </c>
      <c r="C561">
        <f t="shared" ca="1" si="46"/>
        <v>17200.288571216744</v>
      </c>
      <c r="D561">
        <f t="shared" ca="1" si="47"/>
        <v>10916.123373463894</v>
      </c>
      <c r="E561">
        <f t="shared" ca="1" si="48"/>
        <v>6284.1651977528509</v>
      </c>
    </row>
    <row r="562" spans="2:5" x14ac:dyDescent="0.2">
      <c r="B562" s="156">
        <f t="shared" si="49"/>
        <v>487</v>
      </c>
      <c r="C562">
        <f t="shared" ca="1" si="46"/>
        <v>12528.887756521262</v>
      </c>
      <c r="D562">
        <f t="shared" ca="1" si="47"/>
        <v>12481.512668202684</v>
      </c>
      <c r="E562">
        <f t="shared" ca="1" si="48"/>
        <v>47.375088318578491</v>
      </c>
    </row>
    <row r="563" spans="2:5" x14ac:dyDescent="0.2">
      <c r="B563" s="156">
        <f t="shared" si="49"/>
        <v>488</v>
      </c>
      <c r="C563">
        <f t="shared" ca="1" si="46"/>
        <v>15328.782918486111</v>
      </c>
      <c r="D563">
        <f t="shared" ca="1" si="47"/>
        <v>14128.385723255406</v>
      </c>
      <c r="E563">
        <f t="shared" ca="1" si="48"/>
        <v>1200.3971952307056</v>
      </c>
    </row>
    <row r="564" spans="2:5" x14ac:dyDescent="0.2">
      <c r="B564" s="156">
        <f t="shared" si="49"/>
        <v>489</v>
      </c>
      <c r="C564">
        <f t="shared" ca="1" si="46"/>
        <v>14019.383262563413</v>
      </c>
      <c r="D564">
        <f t="shared" ca="1" si="47"/>
        <v>13284.076341304864</v>
      </c>
      <c r="E564">
        <f t="shared" ca="1" si="48"/>
        <v>735.30692125854875</v>
      </c>
    </row>
    <row r="565" spans="2:5" x14ac:dyDescent="0.2">
      <c r="B565" s="156">
        <f t="shared" si="49"/>
        <v>490</v>
      </c>
      <c r="C565">
        <f t="shared" ca="1" si="46"/>
        <v>13194.242389769086</v>
      </c>
      <c r="D565">
        <f t="shared" ca="1" si="47"/>
        <v>9659.5040568447348</v>
      </c>
      <c r="E565">
        <f t="shared" ca="1" si="48"/>
        <v>3534.7383329243512</v>
      </c>
    </row>
    <row r="566" spans="2:5" x14ac:dyDescent="0.2">
      <c r="B566" s="156">
        <f t="shared" si="49"/>
        <v>491</v>
      </c>
      <c r="C566">
        <f t="shared" ca="1" si="46"/>
        <v>12286.846832667412</v>
      </c>
      <c r="D566">
        <f t="shared" ca="1" si="47"/>
        <v>11925.318039786343</v>
      </c>
      <c r="E566">
        <f t="shared" ca="1" si="48"/>
        <v>361.52879288106851</v>
      </c>
    </row>
    <row r="567" spans="2:5" x14ac:dyDescent="0.2">
      <c r="B567" s="156">
        <f t="shared" si="49"/>
        <v>492</v>
      </c>
      <c r="C567">
        <f t="shared" ca="1" si="46"/>
        <v>15185.6795268513</v>
      </c>
      <c r="D567">
        <f t="shared" ca="1" si="47"/>
        <v>12135.033482256251</v>
      </c>
      <c r="E567">
        <f t="shared" ca="1" si="48"/>
        <v>3050.6460445950488</v>
      </c>
    </row>
    <row r="568" spans="2:5" x14ac:dyDescent="0.2">
      <c r="B568" s="156">
        <f t="shared" si="49"/>
        <v>493</v>
      </c>
      <c r="C568">
        <f t="shared" ca="1" si="46"/>
        <v>16941.921331159036</v>
      </c>
      <c r="D568">
        <f t="shared" ca="1" si="47"/>
        <v>13830.346769942349</v>
      </c>
      <c r="E568">
        <f t="shared" ca="1" si="48"/>
        <v>3111.5745612166866</v>
      </c>
    </row>
    <row r="569" spans="2:5" x14ac:dyDescent="0.2">
      <c r="B569" s="156">
        <f t="shared" si="49"/>
        <v>494</v>
      </c>
      <c r="C569">
        <f t="shared" ca="1" si="46"/>
        <v>14298.32769917623</v>
      </c>
      <c r="D569">
        <f t="shared" ca="1" si="47"/>
        <v>10907.760139011643</v>
      </c>
      <c r="E569">
        <f t="shared" ca="1" si="48"/>
        <v>3390.5675601645871</v>
      </c>
    </row>
    <row r="570" spans="2:5" x14ac:dyDescent="0.2">
      <c r="B570" s="156">
        <f t="shared" si="49"/>
        <v>495</v>
      </c>
      <c r="C570">
        <f t="shared" ca="1" si="46"/>
        <v>12914.207847515154</v>
      </c>
      <c r="D570">
        <f t="shared" ca="1" si="47"/>
        <v>12305.180852069809</v>
      </c>
      <c r="E570">
        <f t="shared" ca="1" si="48"/>
        <v>609.02699544534516</v>
      </c>
    </row>
    <row r="571" spans="2:5" x14ac:dyDescent="0.2">
      <c r="B571" s="156">
        <f t="shared" si="49"/>
        <v>496</v>
      </c>
      <c r="C571">
        <f t="shared" ca="1" si="46"/>
        <v>16636.500184858349</v>
      </c>
      <c r="D571">
        <f t="shared" ca="1" si="47"/>
        <v>12516.614508400522</v>
      </c>
      <c r="E571">
        <f t="shared" ca="1" si="48"/>
        <v>4119.8856764578268</v>
      </c>
    </row>
    <row r="572" spans="2:5" x14ac:dyDescent="0.2">
      <c r="B572" s="156">
        <f t="shared" si="49"/>
        <v>497</v>
      </c>
      <c r="C572">
        <f t="shared" ca="1" si="46"/>
        <v>14051.232194012277</v>
      </c>
      <c r="D572">
        <f t="shared" ca="1" si="47"/>
        <v>11929.930726100767</v>
      </c>
      <c r="E572">
        <f t="shared" ca="1" si="48"/>
        <v>2121.3014679115095</v>
      </c>
    </row>
    <row r="573" spans="2:5" x14ac:dyDescent="0.2">
      <c r="B573" s="156">
        <f t="shared" si="49"/>
        <v>498</v>
      </c>
      <c r="C573">
        <f t="shared" ca="1" si="46"/>
        <v>14990.61784621187</v>
      </c>
      <c r="D573">
        <f t="shared" ca="1" si="47"/>
        <v>12754.258285049122</v>
      </c>
      <c r="E573">
        <f t="shared" ca="1" si="48"/>
        <v>2236.3595611627479</v>
      </c>
    </row>
    <row r="574" spans="2:5" x14ac:dyDescent="0.2">
      <c r="B574" s="156">
        <f t="shared" si="49"/>
        <v>499</v>
      </c>
      <c r="C574">
        <f t="shared" ca="1" si="46"/>
        <v>16358.335280430323</v>
      </c>
      <c r="D574">
        <f t="shared" ca="1" si="47"/>
        <v>9903.403772492562</v>
      </c>
      <c r="E574">
        <f t="shared" ca="1" si="48"/>
        <v>6454.9315079377611</v>
      </c>
    </row>
    <row r="575" spans="2:5" x14ac:dyDescent="0.2">
      <c r="B575" s="156">
        <f t="shared" si="49"/>
        <v>500</v>
      </c>
      <c r="C575">
        <f t="shared" ca="1" si="46"/>
        <v>16051.215147544253</v>
      </c>
      <c r="D575">
        <f t="shared" ca="1" si="47"/>
        <v>13479.684073428873</v>
      </c>
      <c r="E575">
        <f t="shared" ca="1" si="48"/>
        <v>2571.5310741153808</v>
      </c>
    </row>
    <row r="576" spans="2:5" x14ac:dyDescent="0.2">
      <c r="B576" s="156">
        <f t="shared" si="49"/>
        <v>501</v>
      </c>
      <c r="C576">
        <f t="shared" ca="1" si="46"/>
        <v>13514.290540120875</v>
      </c>
      <c r="D576">
        <f t="shared" ca="1" si="47"/>
        <v>11043.960431712025</v>
      </c>
      <c r="E576">
        <f t="shared" ca="1" si="48"/>
        <v>2470.3301084088507</v>
      </c>
    </row>
    <row r="577" spans="2:5" x14ac:dyDescent="0.2">
      <c r="B577" s="156">
        <f t="shared" si="49"/>
        <v>502</v>
      </c>
      <c r="C577">
        <f t="shared" ca="1" si="46"/>
        <v>14932.447714033276</v>
      </c>
      <c r="D577">
        <f t="shared" ca="1" si="47"/>
        <v>11153.856551602934</v>
      </c>
      <c r="E577">
        <f t="shared" ca="1" si="48"/>
        <v>3778.5911624303426</v>
      </c>
    </row>
    <row r="578" spans="2:5" x14ac:dyDescent="0.2">
      <c r="B578" s="156">
        <f t="shared" si="49"/>
        <v>503</v>
      </c>
      <c r="C578">
        <f t="shared" ca="1" si="46"/>
        <v>14800.654997553132</v>
      </c>
      <c r="D578">
        <f t="shared" ca="1" si="47"/>
        <v>12077.387819543184</v>
      </c>
      <c r="E578">
        <f t="shared" ca="1" si="48"/>
        <v>2723.2671780099481</v>
      </c>
    </row>
    <row r="579" spans="2:5" x14ac:dyDescent="0.2">
      <c r="B579" s="156">
        <f t="shared" si="49"/>
        <v>504</v>
      </c>
      <c r="C579">
        <f t="shared" ca="1" si="46"/>
        <v>15759.242417941135</v>
      </c>
      <c r="D579">
        <f t="shared" ca="1" si="47"/>
        <v>12931.782584370489</v>
      </c>
      <c r="E579">
        <f t="shared" ca="1" si="48"/>
        <v>2827.4598335706469</v>
      </c>
    </row>
    <row r="580" spans="2:5" x14ac:dyDescent="0.2">
      <c r="B580" s="156">
        <f t="shared" si="49"/>
        <v>505</v>
      </c>
      <c r="C580">
        <f t="shared" ca="1" si="46"/>
        <v>14654.210079824201</v>
      </c>
      <c r="D580">
        <f t="shared" ca="1" si="47"/>
        <v>12370.629518416152</v>
      </c>
      <c r="E580">
        <f t="shared" ca="1" si="48"/>
        <v>2283.5805614080491</v>
      </c>
    </row>
    <row r="581" spans="2:5" x14ac:dyDescent="0.2">
      <c r="B581" s="156">
        <f t="shared" si="49"/>
        <v>506</v>
      </c>
      <c r="C581">
        <f t="shared" ca="1" si="46"/>
        <v>12470.811467160152</v>
      </c>
      <c r="D581">
        <f t="shared" ca="1" si="47"/>
        <v>13288.474029781215</v>
      </c>
      <c r="E581">
        <f t="shared" ca="1" si="48"/>
        <v>-817.66256262106253</v>
      </c>
    </row>
    <row r="582" spans="2:5" x14ac:dyDescent="0.2">
      <c r="B582" s="156">
        <f t="shared" si="49"/>
        <v>507</v>
      </c>
      <c r="C582">
        <f t="shared" ca="1" si="46"/>
        <v>14463.656082306112</v>
      </c>
      <c r="D582">
        <f t="shared" ca="1" si="47"/>
        <v>10907.409297665736</v>
      </c>
      <c r="E582">
        <f t="shared" ca="1" si="48"/>
        <v>3556.2467846403761</v>
      </c>
    </row>
    <row r="583" spans="2:5" x14ac:dyDescent="0.2">
      <c r="B583" s="156">
        <f t="shared" si="49"/>
        <v>508</v>
      </c>
      <c r="C583">
        <f t="shared" ca="1" si="46"/>
        <v>15088.392513922548</v>
      </c>
      <c r="D583">
        <f t="shared" ca="1" si="47"/>
        <v>8892.9615277821049</v>
      </c>
      <c r="E583">
        <f t="shared" ca="1" si="48"/>
        <v>6195.4309861404436</v>
      </c>
    </row>
    <row r="584" spans="2:5" x14ac:dyDescent="0.2">
      <c r="B584" s="156">
        <f t="shared" si="49"/>
        <v>509</v>
      </c>
      <c r="C584">
        <f t="shared" ca="1" si="46"/>
        <v>14211.931237422836</v>
      </c>
      <c r="D584">
        <f t="shared" ca="1" si="47"/>
        <v>12402.701558828621</v>
      </c>
      <c r="E584">
        <f t="shared" ca="1" si="48"/>
        <v>1809.2296785942144</v>
      </c>
    </row>
    <row r="585" spans="2:5" x14ac:dyDescent="0.2">
      <c r="B585" s="156">
        <f t="shared" si="49"/>
        <v>510</v>
      </c>
      <c r="C585">
        <f t="shared" ca="1" si="46"/>
        <v>12429.30820948954</v>
      </c>
      <c r="D585">
        <f t="shared" ca="1" si="47"/>
        <v>10843.207281006393</v>
      </c>
      <c r="E585">
        <f t="shared" ca="1" si="48"/>
        <v>1586.1009284831471</v>
      </c>
    </row>
    <row r="586" spans="2:5" x14ac:dyDescent="0.2">
      <c r="B586" s="156">
        <f t="shared" si="49"/>
        <v>511</v>
      </c>
      <c r="C586">
        <f t="shared" ca="1" si="46"/>
        <v>15059.17528798975</v>
      </c>
      <c r="D586">
        <f t="shared" ca="1" si="47"/>
        <v>11409.95711543518</v>
      </c>
      <c r="E586">
        <f t="shared" ca="1" si="48"/>
        <v>3649.2181725545706</v>
      </c>
    </row>
    <row r="587" spans="2:5" x14ac:dyDescent="0.2">
      <c r="B587" s="156">
        <f t="shared" si="49"/>
        <v>512</v>
      </c>
      <c r="C587">
        <f t="shared" ca="1" si="46"/>
        <v>15411.35977547292</v>
      </c>
      <c r="D587">
        <f t="shared" ca="1" si="47"/>
        <v>12730.991395995639</v>
      </c>
      <c r="E587">
        <f t="shared" ca="1" si="48"/>
        <v>2680.3683794772805</v>
      </c>
    </row>
    <row r="588" spans="2:5" x14ac:dyDescent="0.2">
      <c r="B588" s="156">
        <f t="shared" si="49"/>
        <v>513</v>
      </c>
      <c r="C588">
        <f t="shared" ca="1" si="46"/>
        <v>13709.429532343287</v>
      </c>
      <c r="D588">
        <f t="shared" ca="1" si="47"/>
        <v>10553.700068022888</v>
      </c>
      <c r="E588">
        <f t="shared" ca="1" si="48"/>
        <v>3155.7294643203986</v>
      </c>
    </row>
    <row r="589" spans="2:5" x14ac:dyDescent="0.2">
      <c r="B589" s="156">
        <f t="shared" si="49"/>
        <v>514</v>
      </c>
      <c r="C589">
        <f t="shared" ref="C589:C652" ca="1" si="50">$C$70*(1+_xlfn.NORM.S.INV(RAND())*$C$72)</f>
        <v>14339.476893564932</v>
      </c>
      <c r="D589">
        <f t="shared" ref="D589:D652" ca="1" si="51">$C$71*(1+_xlfn.NORM.S.INV(RAND())*$C$73)</f>
        <v>12375.105751649391</v>
      </c>
      <c r="E589">
        <f t="shared" ref="E589:E652" ca="1" si="52">C589-D589</f>
        <v>1964.3711419155406</v>
      </c>
    </row>
    <row r="590" spans="2:5" x14ac:dyDescent="0.2">
      <c r="B590" s="156">
        <f t="shared" ref="B590:B653" si="53">B589+1</f>
        <v>515</v>
      </c>
      <c r="C590">
        <f t="shared" ca="1" si="50"/>
        <v>13550.771915382022</v>
      </c>
      <c r="D590">
        <f t="shared" ca="1" si="51"/>
        <v>11004.795608693772</v>
      </c>
      <c r="E590">
        <f t="shared" ca="1" si="52"/>
        <v>2545.9763066882497</v>
      </c>
    </row>
    <row r="591" spans="2:5" x14ac:dyDescent="0.2">
      <c r="B591" s="156">
        <f t="shared" si="53"/>
        <v>516</v>
      </c>
      <c r="C591">
        <f t="shared" ca="1" si="50"/>
        <v>15910.581159375794</v>
      </c>
      <c r="D591">
        <f t="shared" ca="1" si="51"/>
        <v>12498.358335447077</v>
      </c>
      <c r="E591">
        <f t="shared" ca="1" si="52"/>
        <v>3412.222823928716</v>
      </c>
    </row>
    <row r="592" spans="2:5" x14ac:dyDescent="0.2">
      <c r="B592" s="156">
        <f t="shared" si="53"/>
        <v>517</v>
      </c>
      <c r="C592">
        <f t="shared" ca="1" si="50"/>
        <v>14578.017493509864</v>
      </c>
      <c r="D592">
        <f t="shared" ca="1" si="51"/>
        <v>10530.560250366123</v>
      </c>
      <c r="E592">
        <f t="shared" ca="1" si="52"/>
        <v>4047.4572431437409</v>
      </c>
    </row>
    <row r="593" spans="2:5" x14ac:dyDescent="0.2">
      <c r="B593" s="156">
        <f t="shared" si="53"/>
        <v>518</v>
      </c>
      <c r="C593">
        <f t="shared" ca="1" si="50"/>
        <v>16849.261344800118</v>
      </c>
      <c r="D593">
        <f t="shared" ca="1" si="51"/>
        <v>12053.589289944612</v>
      </c>
      <c r="E593">
        <f t="shared" ca="1" si="52"/>
        <v>4795.6720548555058</v>
      </c>
    </row>
    <row r="594" spans="2:5" x14ac:dyDescent="0.2">
      <c r="B594" s="156">
        <f t="shared" si="53"/>
        <v>519</v>
      </c>
      <c r="C594">
        <f t="shared" ca="1" si="50"/>
        <v>15128.322810296995</v>
      </c>
      <c r="D594">
        <f t="shared" ca="1" si="51"/>
        <v>10790.441094298929</v>
      </c>
      <c r="E594">
        <f t="shared" ca="1" si="52"/>
        <v>4337.8817159980663</v>
      </c>
    </row>
    <row r="595" spans="2:5" x14ac:dyDescent="0.2">
      <c r="B595" s="156">
        <f t="shared" si="53"/>
        <v>520</v>
      </c>
      <c r="C595">
        <f t="shared" ca="1" si="50"/>
        <v>15578.725677668621</v>
      </c>
      <c r="D595">
        <f t="shared" ca="1" si="51"/>
        <v>11181.075490912848</v>
      </c>
      <c r="E595">
        <f t="shared" ca="1" si="52"/>
        <v>4397.6501867557727</v>
      </c>
    </row>
    <row r="596" spans="2:5" x14ac:dyDescent="0.2">
      <c r="B596" s="156">
        <f t="shared" si="53"/>
        <v>521</v>
      </c>
      <c r="C596">
        <f t="shared" ca="1" si="50"/>
        <v>14147.570311430707</v>
      </c>
      <c r="D596">
        <f t="shared" ca="1" si="51"/>
        <v>12706.233401673351</v>
      </c>
      <c r="E596">
        <f t="shared" ca="1" si="52"/>
        <v>1441.3369097573559</v>
      </c>
    </row>
    <row r="597" spans="2:5" x14ac:dyDescent="0.2">
      <c r="B597" s="156">
        <f t="shared" si="53"/>
        <v>522</v>
      </c>
      <c r="C597">
        <f t="shared" ca="1" si="50"/>
        <v>16595.538563071608</v>
      </c>
      <c r="D597">
        <f t="shared" ca="1" si="51"/>
        <v>12266.237284162473</v>
      </c>
      <c r="E597">
        <f t="shared" ca="1" si="52"/>
        <v>4329.3012789091354</v>
      </c>
    </row>
    <row r="598" spans="2:5" x14ac:dyDescent="0.2">
      <c r="B598" s="156">
        <f t="shared" si="53"/>
        <v>523</v>
      </c>
      <c r="C598">
        <f t="shared" ca="1" si="50"/>
        <v>10514.59796737316</v>
      </c>
      <c r="D598">
        <f t="shared" ca="1" si="51"/>
        <v>11098.812580708503</v>
      </c>
      <c r="E598">
        <f t="shared" ca="1" si="52"/>
        <v>-584.21461333534353</v>
      </c>
    </row>
    <row r="599" spans="2:5" x14ac:dyDescent="0.2">
      <c r="B599" s="156">
        <f t="shared" si="53"/>
        <v>524</v>
      </c>
      <c r="C599">
        <f t="shared" ca="1" si="50"/>
        <v>15568.44998305951</v>
      </c>
      <c r="D599">
        <f t="shared" ca="1" si="51"/>
        <v>10756.161712398098</v>
      </c>
      <c r="E599">
        <f t="shared" ca="1" si="52"/>
        <v>4812.2882706614128</v>
      </c>
    </row>
    <row r="600" spans="2:5" x14ac:dyDescent="0.2">
      <c r="B600" s="156">
        <f t="shared" si="53"/>
        <v>525</v>
      </c>
      <c r="C600">
        <f t="shared" ca="1" si="50"/>
        <v>13532.367325107754</v>
      </c>
      <c r="D600">
        <f t="shared" ca="1" si="51"/>
        <v>10602.077301940248</v>
      </c>
      <c r="E600">
        <f t="shared" ca="1" si="52"/>
        <v>2930.2900231675067</v>
      </c>
    </row>
    <row r="601" spans="2:5" x14ac:dyDescent="0.2">
      <c r="B601" s="156">
        <f t="shared" si="53"/>
        <v>526</v>
      </c>
      <c r="C601">
        <f t="shared" ca="1" si="50"/>
        <v>13749.392079862597</v>
      </c>
      <c r="D601">
        <f t="shared" ca="1" si="51"/>
        <v>12768.078640925605</v>
      </c>
      <c r="E601">
        <f t="shared" ca="1" si="52"/>
        <v>981.31343893699159</v>
      </c>
    </row>
    <row r="602" spans="2:5" x14ac:dyDescent="0.2">
      <c r="B602" s="156">
        <f t="shared" si="53"/>
        <v>527</v>
      </c>
      <c r="C602">
        <f t="shared" ca="1" si="50"/>
        <v>13444.991094769412</v>
      </c>
      <c r="D602">
        <f t="shared" ca="1" si="51"/>
        <v>12818.310731833742</v>
      </c>
      <c r="E602">
        <f t="shared" ca="1" si="52"/>
        <v>626.68036293566911</v>
      </c>
    </row>
    <row r="603" spans="2:5" x14ac:dyDescent="0.2">
      <c r="B603" s="156">
        <f t="shared" si="53"/>
        <v>528</v>
      </c>
      <c r="C603">
        <f t="shared" ca="1" si="50"/>
        <v>16128.380097274838</v>
      </c>
      <c r="D603">
        <f t="shared" ca="1" si="51"/>
        <v>11816.863590020033</v>
      </c>
      <c r="E603">
        <f t="shared" ca="1" si="52"/>
        <v>4311.5165072548043</v>
      </c>
    </row>
    <row r="604" spans="2:5" x14ac:dyDescent="0.2">
      <c r="B604" s="156">
        <f t="shared" si="53"/>
        <v>529</v>
      </c>
      <c r="C604">
        <f t="shared" ca="1" si="50"/>
        <v>15788.023387693236</v>
      </c>
      <c r="D604">
        <f t="shared" ca="1" si="51"/>
        <v>12228.888993309056</v>
      </c>
      <c r="E604">
        <f t="shared" ca="1" si="52"/>
        <v>3559.1343943841803</v>
      </c>
    </row>
    <row r="605" spans="2:5" x14ac:dyDescent="0.2">
      <c r="B605" s="156">
        <f t="shared" si="53"/>
        <v>530</v>
      </c>
      <c r="C605">
        <f t="shared" ca="1" si="50"/>
        <v>15145.0040538666</v>
      </c>
      <c r="D605">
        <f t="shared" ca="1" si="51"/>
        <v>12909.768704556907</v>
      </c>
      <c r="E605">
        <f t="shared" ca="1" si="52"/>
        <v>2235.2353493096925</v>
      </c>
    </row>
    <row r="606" spans="2:5" x14ac:dyDescent="0.2">
      <c r="B606" s="156">
        <f t="shared" si="53"/>
        <v>531</v>
      </c>
      <c r="C606">
        <f t="shared" ca="1" si="50"/>
        <v>16153.432163649686</v>
      </c>
      <c r="D606">
        <f t="shared" ca="1" si="51"/>
        <v>12490.841666138316</v>
      </c>
      <c r="E606">
        <f t="shared" ca="1" si="52"/>
        <v>3662.5904975113699</v>
      </c>
    </row>
    <row r="607" spans="2:5" x14ac:dyDescent="0.2">
      <c r="B607" s="156">
        <f t="shared" si="53"/>
        <v>532</v>
      </c>
      <c r="C607">
        <f t="shared" ca="1" si="50"/>
        <v>15366.413062626489</v>
      </c>
      <c r="D607">
        <f t="shared" ca="1" si="51"/>
        <v>10109.107552274687</v>
      </c>
      <c r="E607">
        <f t="shared" ca="1" si="52"/>
        <v>5257.3055103518018</v>
      </c>
    </row>
    <row r="608" spans="2:5" x14ac:dyDescent="0.2">
      <c r="B608" s="156">
        <f t="shared" si="53"/>
        <v>533</v>
      </c>
      <c r="C608">
        <f t="shared" ca="1" si="50"/>
        <v>16169.129582752195</v>
      </c>
      <c r="D608">
        <f t="shared" ca="1" si="51"/>
        <v>11145.012790703688</v>
      </c>
      <c r="E608">
        <f t="shared" ca="1" si="52"/>
        <v>5024.1167920485077</v>
      </c>
    </row>
    <row r="609" spans="2:5" x14ac:dyDescent="0.2">
      <c r="B609" s="156">
        <f t="shared" si="53"/>
        <v>534</v>
      </c>
      <c r="C609">
        <f t="shared" ca="1" si="50"/>
        <v>13499.083594476155</v>
      </c>
      <c r="D609">
        <f t="shared" ca="1" si="51"/>
        <v>11528.439167231196</v>
      </c>
      <c r="E609">
        <f t="shared" ca="1" si="52"/>
        <v>1970.6444272449589</v>
      </c>
    </row>
    <row r="610" spans="2:5" x14ac:dyDescent="0.2">
      <c r="B610" s="156">
        <f t="shared" si="53"/>
        <v>535</v>
      </c>
      <c r="C610">
        <f t="shared" ca="1" si="50"/>
        <v>15952.760614982071</v>
      </c>
      <c r="D610">
        <f t="shared" ca="1" si="51"/>
        <v>11320.094311060775</v>
      </c>
      <c r="E610">
        <f t="shared" ca="1" si="52"/>
        <v>4632.6663039212963</v>
      </c>
    </row>
    <row r="611" spans="2:5" x14ac:dyDescent="0.2">
      <c r="B611" s="156">
        <f t="shared" si="53"/>
        <v>536</v>
      </c>
      <c r="C611">
        <f t="shared" ca="1" si="50"/>
        <v>15981.428418658972</v>
      </c>
      <c r="D611">
        <f t="shared" ca="1" si="51"/>
        <v>11068.698004797838</v>
      </c>
      <c r="E611">
        <f t="shared" ca="1" si="52"/>
        <v>4912.7304138611344</v>
      </c>
    </row>
    <row r="612" spans="2:5" x14ac:dyDescent="0.2">
      <c r="B612" s="156">
        <f t="shared" si="53"/>
        <v>537</v>
      </c>
      <c r="C612">
        <f t="shared" ca="1" si="50"/>
        <v>17331.267131276214</v>
      </c>
      <c r="D612">
        <f t="shared" ca="1" si="51"/>
        <v>12458.562307830356</v>
      </c>
      <c r="E612">
        <f t="shared" ca="1" si="52"/>
        <v>4872.704823445858</v>
      </c>
    </row>
    <row r="613" spans="2:5" x14ac:dyDescent="0.2">
      <c r="B613" s="156">
        <f t="shared" si="53"/>
        <v>538</v>
      </c>
      <c r="C613">
        <f t="shared" ca="1" si="50"/>
        <v>8898.4546075021062</v>
      </c>
      <c r="D613">
        <f t="shared" ca="1" si="51"/>
        <v>12570.381367034539</v>
      </c>
      <c r="E613">
        <f t="shared" ca="1" si="52"/>
        <v>-3671.9267595324327</v>
      </c>
    </row>
    <row r="614" spans="2:5" x14ac:dyDescent="0.2">
      <c r="B614" s="156">
        <f t="shared" si="53"/>
        <v>539</v>
      </c>
      <c r="C614">
        <f t="shared" ca="1" si="50"/>
        <v>14067.479175005947</v>
      </c>
      <c r="D614">
        <f t="shared" ca="1" si="51"/>
        <v>13733.677169244345</v>
      </c>
      <c r="E614">
        <f t="shared" ca="1" si="52"/>
        <v>333.80200576160132</v>
      </c>
    </row>
    <row r="615" spans="2:5" x14ac:dyDescent="0.2">
      <c r="B615" s="156">
        <f t="shared" si="53"/>
        <v>540</v>
      </c>
      <c r="C615">
        <f t="shared" ca="1" si="50"/>
        <v>12574.116325768608</v>
      </c>
      <c r="D615">
        <f t="shared" ca="1" si="51"/>
        <v>11345.648074430028</v>
      </c>
      <c r="E615">
        <f t="shared" ca="1" si="52"/>
        <v>1228.4682513385796</v>
      </c>
    </row>
    <row r="616" spans="2:5" x14ac:dyDescent="0.2">
      <c r="B616" s="156">
        <f t="shared" si="53"/>
        <v>541</v>
      </c>
      <c r="C616">
        <f t="shared" ca="1" si="50"/>
        <v>15164.160998661022</v>
      </c>
      <c r="D616">
        <f t="shared" ca="1" si="51"/>
        <v>10177.396569562294</v>
      </c>
      <c r="E616">
        <f t="shared" ca="1" si="52"/>
        <v>4986.7644290987282</v>
      </c>
    </row>
    <row r="617" spans="2:5" x14ac:dyDescent="0.2">
      <c r="B617" s="156">
        <f t="shared" si="53"/>
        <v>542</v>
      </c>
      <c r="C617">
        <f t="shared" ca="1" si="50"/>
        <v>16029.835087556503</v>
      </c>
      <c r="D617">
        <f t="shared" ca="1" si="51"/>
        <v>11163.042814406734</v>
      </c>
      <c r="E617">
        <f t="shared" ca="1" si="52"/>
        <v>4866.7922731497692</v>
      </c>
    </row>
    <row r="618" spans="2:5" x14ac:dyDescent="0.2">
      <c r="B618" s="156">
        <f t="shared" si="53"/>
        <v>543</v>
      </c>
      <c r="C618">
        <f t="shared" ca="1" si="50"/>
        <v>14887.708994595987</v>
      </c>
      <c r="D618">
        <f t="shared" ca="1" si="51"/>
        <v>11984.163422208063</v>
      </c>
      <c r="E618">
        <f t="shared" ca="1" si="52"/>
        <v>2903.545572387924</v>
      </c>
    </row>
    <row r="619" spans="2:5" x14ac:dyDescent="0.2">
      <c r="B619" s="156">
        <f t="shared" si="53"/>
        <v>544</v>
      </c>
      <c r="C619">
        <f t="shared" ca="1" si="50"/>
        <v>12790.439154097845</v>
      </c>
      <c r="D619">
        <f t="shared" ca="1" si="51"/>
        <v>13842.571263983073</v>
      </c>
      <c r="E619">
        <f t="shared" ca="1" si="52"/>
        <v>-1052.1321098852277</v>
      </c>
    </row>
    <row r="620" spans="2:5" x14ac:dyDescent="0.2">
      <c r="B620" s="156">
        <f t="shared" si="53"/>
        <v>545</v>
      </c>
      <c r="C620">
        <f t="shared" ca="1" si="50"/>
        <v>15272.630425564837</v>
      </c>
      <c r="D620">
        <f t="shared" ca="1" si="51"/>
        <v>13530.959910601312</v>
      </c>
      <c r="E620">
        <f t="shared" ca="1" si="52"/>
        <v>1741.6705149635254</v>
      </c>
    </row>
    <row r="621" spans="2:5" x14ac:dyDescent="0.2">
      <c r="B621" s="156">
        <f t="shared" si="53"/>
        <v>546</v>
      </c>
      <c r="C621">
        <f t="shared" ca="1" si="50"/>
        <v>14984.356363857389</v>
      </c>
      <c r="D621">
        <f t="shared" ca="1" si="51"/>
        <v>12903.573952029508</v>
      </c>
      <c r="E621">
        <f t="shared" ca="1" si="52"/>
        <v>2080.7824118278804</v>
      </c>
    </row>
    <row r="622" spans="2:5" x14ac:dyDescent="0.2">
      <c r="B622" s="156">
        <f t="shared" si="53"/>
        <v>547</v>
      </c>
      <c r="C622">
        <f t="shared" ca="1" si="50"/>
        <v>14819.465877985456</v>
      </c>
      <c r="D622">
        <f t="shared" ca="1" si="51"/>
        <v>13260.109413871864</v>
      </c>
      <c r="E622">
        <f t="shared" ca="1" si="52"/>
        <v>1559.3564641135927</v>
      </c>
    </row>
    <row r="623" spans="2:5" x14ac:dyDescent="0.2">
      <c r="B623" s="156">
        <f t="shared" si="53"/>
        <v>548</v>
      </c>
      <c r="C623">
        <f t="shared" ca="1" si="50"/>
        <v>11618.283345741254</v>
      </c>
      <c r="D623">
        <f t="shared" ca="1" si="51"/>
        <v>14834.534169082515</v>
      </c>
      <c r="E623">
        <f t="shared" ca="1" si="52"/>
        <v>-3216.2508233412609</v>
      </c>
    </row>
    <row r="624" spans="2:5" x14ac:dyDescent="0.2">
      <c r="B624" s="156">
        <f t="shared" si="53"/>
        <v>549</v>
      </c>
      <c r="C624">
        <f t="shared" ca="1" si="50"/>
        <v>11814.062480964843</v>
      </c>
      <c r="D624">
        <f t="shared" ca="1" si="51"/>
        <v>14297.944600036662</v>
      </c>
      <c r="E624">
        <f t="shared" ca="1" si="52"/>
        <v>-2483.882119071819</v>
      </c>
    </row>
    <row r="625" spans="2:5" x14ac:dyDescent="0.2">
      <c r="B625" s="156">
        <f t="shared" si="53"/>
        <v>550</v>
      </c>
      <c r="C625">
        <f t="shared" ca="1" si="50"/>
        <v>15002.57203381756</v>
      </c>
      <c r="D625">
        <f t="shared" ca="1" si="51"/>
        <v>13554.202946229305</v>
      </c>
      <c r="E625">
        <f t="shared" ca="1" si="52"/>
        <v>1448.3690875882548</v>
      </c>
    </row>
    <row r="626" spans="2:5" x14ac:dyDescent="0.2">
      <c r="B626" s="156">
        <f t="shared" si="53"/>
        <v>551</v>
      </c>
      <c r="C626">
        <f t="shared" ca="1" si="50"/>
        <v>13679.038668843434</v>
      </c>
      <c r="D626">
        <f t="shared" ca="1" si="51"/>
        <v>11965.606994677362</v>
      </c>
      <c r="E626">
        <f t="shared" ca="1" si="52"/>
        <v>1713.4316741660714</v>
      </c>
    </row>
    <row r="627" spans="2:5" x14ac:dyDescent="0.2">
      <c r="B627" s="156">
        <f t="shared" si="53"/>
        <v>552</v>
      </c>
      <c r="C627">
        <f t="shared" ca="1" si="50"/>
        <v>11256.971697198003</v>
      </c>
      <c r="D627">
        <f t="shared" ca="1" si="51"/>
        <v>11257.415983038602</v>
      </c>
      <c r="E627">
        <f t="shared" ca="1" si="52"/>
        <v>-0.44428584059824061</v>
      </c>
    </row>
    <row r="628" spans="2:5" x14ac:dyDescent="0.2">
      <c r="B628" s="156">
        <f t="shared" si="53"/>
        <v>553</v>
      </c>
      <c r="C628">
        <f t="shared" ca="1" si="50"/>
        <v>13132.738763191814</v>
      </c>
      <c r="D628">
        <f t="shared" ca="1" si="51"/>
        <v>12148.991752788384</v>
      </c>
      <c r="E628">
        <f t="shared" ca="1" si="52"/>
        <v>983.74701040342916</v>
      </c>
    </row>
    <row r="629" spans="2:5" x14ac:dyDescent="0.2">
      <c r="B629" s="156">
        <f t="shared" si="53"/>
        <v>554</v>
      </c>
      <c r="C629">
        <f t="shared" ca="1" si="50"/>
        <v>17466.407682562742</v>
      </c>
      <c r="D629">
        <f t="shared" ca="1" si="51"/>
        <v>12441.597912264895</v>
      </c>
      <c r="E629">
        <f t="shared" ca="1" si="52"/>
        <v>5024.8097702978466</v>
      </c>
    </row>
    <row r="630" spans="2:5" x14ac:dyDescent="0.2">
      <c r="B630" s="156">
        <f t="shared" si="53"/>
        <v>555</v>
      </c>
      <c r="C630">
        <f t="shared" ca="1" si="50"/>
        <v>13289.283828079653</v>
      </c>
      <c r="D630">
        <f t="shared" ca="1" si="51"/>
        <v>11676.044429054331</v>
      </c>
      <c r="E630">
        <f t="shared" ca="1" si="52"/>
        <v>1613.2393990253222</v>
      </c>
    </row>
    <row r="631" spans="2:5" x14ac:dyDescent="0.2">
      <c r="B631" s="156">
        <f t="shared" si="53"/>
        <v>556</v>
      </c>
      <c r="C631">
        <f t="shared" ca="1" si="50"/>
        <v>13894.705647118253</v>
      </c>
      <c r="D631">
        <f t="shared" ca="1" si="51"/>
        <v>11762.354619514834</v>
      </c>
      <c r="E631">
        <f t="shared" ca="1" si="52"/>
        <v>2132.3510276034194</v>
      </c>
    </row>
    <row r="632" spans="2:5" x14ac:dyDescent="0.2">
      <c r="B632" s="156">
        <f t="shared" si="53"/>
        <v>557</v>
      </c>
      <c r="C632">
        <f t="shared" ca="1" si="50"/>
        <v>15814.280846227244</v>
      </c>
      <c r="D632">
        <f t="shared" ca="1" si="51"/>
        <v>10556.94212921239</v>
      </c>
      <c r="E632">
        <f t="shared" ca="1" si="52"/>
        <v>5257.3387170148544</v>
      </c>
    </row>
    <row r="633" spans="2:5" x14ac:dyDescent="0.2">
      <c r="B633" s="156">
        <f t="shared" si="53"/>
        <v>558</v>
      </c>
      <c r="C633">
        <f t="shared" ca="1" si="50"/>
        <v>12164.289697502978</v>
      </c>
      <c r="D633">
        <f t="shared" ca="1" si="51"/>
        <v>11457.997400720171</v>
      </c>
      <c r="E633">
        <f t="shared" ca="1" si="52"/>
        <v>706.29229678280717</v>
      </c>
    </row>
    <row r="634" spans="2:5" x14ac:dyDescent="0.2">
      <c r="B634" s="156">
        <f t="shared" si="53"/>
        <v>559</v>
      </c>
      <c r="C634">
        <f t="shared" ca="1" si="50"/>
        <v>14508.380159503886</v>
      </c>
      <c r="D634">
        <f t="shared" ca="1" si="51"/>
        <v>11935.268776245521</v>
      </c>
      <c r="E634">
        <f t="shared" ca="1" si="52"/>
        <v>2573.1113832583651</v>
      </c>
    </row>
    <row r="635" spans="2:5" x14ac:dyDescent="0.2">
      <c r="B635" s="156">
        <f t="shared" si="53"/>
        <v>560</v>
      </c>
      <c r="C635">
        <f t="shared" ca="1" si="50"/>
        <v>14271.914909467565</v>
      </c>
      <c r="D635">
        <f t="shared" ca="1" si="51"/>
        <v>12612.847346663664</v>
      </c>
      <c r="E635">
        <f t="shared" ca="1" si="52"/>
        <v>1659.0675628039007</v>
      </c>
    </row>
    <row r="636" spans="2:5" x14ac:dyDescent="0.2">
      <c r="B636" s="156">
        <f t="shared" si="53"/>
        <v>561</v>
      </c>
      <c r="C636">
        <f t="shared" ca="1" si="50"/>
        <v>16640.19149540802</v>
      </c>
      <c r="D636">
        <f t="shared" ca="1" si="51"/>
        <v>11691.998573454814</v>
      </c>
      <c r="E636">
        <f t="shared" ca="1" si="52"/>
        <v>4948.1929219532067</v>
      </c>
    </row>
    <row r="637" spans="2:5" x14ac:dyDescent="0.2">
      <c r="B637" s="156">
        <f t="shared" si="53"/>
        <v>562</v>
      </c>
      <c r="C637">
        <f t="shared" ca="1" si="50"/>
        <v>12595.571274440701</v>
      </c>
      <c r="D637">
        <f t="shared" ca="1" si="51"/>
        <v>11100.811835009044</v>
      </c>
      <c r="E637">
        <f t="shared" ca="1" si="52"/>
        <v>1494.7594394316566</v>
      </c>
    </row>
    <row r="638" spans="2:5" x14ac:dyDescent="0.2">
      <c r="B638" s="156">
        <f t="shared" si="53"/>
        <v>563</v>
      </c>
      <c r="C638">
        <f t="shared" ca="1" si="50"/>
        <v>12252.834037594679</v>
      </c>
      <c r="D638">
        <f t="shared" ca="1" si="51"/>
        <v>10069.177797618911</v>
      </c>
      <c r="E638">
        <f t="shared" ca="1" si="52"/>
        <v>2183.6562399757677</v>
      </c>
    </row>
    <row r="639" spans="2:5" x14ac:dyDescent="0.2">
      <c r="B639" s="156">
        <f t="shared" si="53"/>
        <v>564</v>
      </c>
      <c r="C639">
        <f t="shared" ca="1" si="50"/>
        <v>16013.132784232022</v>
      </c>
      <c r="D639">
        <f t="shared" ca="1" si="51"/>
        <v>12187.279977340824</v>
      </c>
      <c r="E639">
        <f t="shared" ca="1" si="52"/>
        <v>3825.8528068911983</v>
      </c>
    </row>
    <row r="640" spans="2:5" x14ac:dyDescent="0.2">
      <c r="B640" s="156">
        <f t="shared" si="53"/>
        <v>565</v>
      </c>
      <c r="C640">
        <f t="shared" ca="1" si="50"/>
        <v>16121.5781641914</v>
      </c>
      <c r="D640">
        <f t="shared" ca="1" si="51"/>
        <v>12178.85354077398</v>
      </c>
      <c r="E640">
        <f t="shared" ca="1" si="52"/>
        <v>3942.7246234174199</v>
      </c>
    </row>
    <row r="641" spans="2:5" x14ac:dyDescent="0.2">
      <c r="B641" s="156">
        <f t="shared" si="53"/>
        <v>566</v>
      </c>
      <c r="C641">
        <f t="shared" ca="1" si="50"/>
        <v>14031.500185663537</v>
      </c>
      <c r="D641">
        <f t="shared" ca="1" si="51"/>
        <v>11629.508293933714</v>
      </c>
      <c r="E641">
        <f t="shared" ca="1" si="52"/>
        <v>2401.9918917298237</v>
      </c>
    </row>
    <row r="642" spans="2:5" x14ac:dyDescent="0.2">
      <c r="B642" s="156">
        <f t="shared" si="53"/>
        <v>567</v>
      </c>
      <c r="C642">
        <f t="shared" ca="1" si="50"/>
        <v>9970.6674906905391</v>
      </c>
      <c r="D642">
        <f t="shared" ca="1" si="51"/>
        <v>11957.997023819731</v>
      </c>
      <c r="E642">
        <f t="shared" ca="1" si="52"/>
        <v>-1987.329533129192</v>
      </c>
    </row>
    <row r="643" spans="2:5" x14ac:dyDescent="0.2">
      <c r="B643" s="156">
        <f t="shared" si="53"/>
        <v>568</v>
      </c>
      <c r="C643">
        <f t="shared" ca="1" si="50"/>
        <v>15373.680935769835</v>
      </c>
      <c r="D643">
        <f t="shared" ca="1" si="51"/>
        <v>11894.953676061856</v>
      </c>
      <c r="E643">
        <f t="shared" ca="1" si="52"/>
        <v>3478.7272597079791</v>
      </c>
    </row>
    <row r="644" spans="2:5" x14ac:dyDescent="0.2">
      <c r="B644" s="156">
        <f t="shared" si="53"/>
        <v>569</v>
      </c>
      <c r="C644">
        <f t="shared" ca="1" si="50"/>
        <v>14146.079004464778</v>
      </c>
      <c r="D644">
        <f t="shared" ca="1" si="51"/>
        <v>12253.311694730766</v>
      </c>
      <c r="E644">
        <f t="shared" ca="1" si="52"/>
        <v>1892.7673097340121</v>
      </c>
    </row>
    <row r="645" spans="2:5" x14ac:dyDescent="0.2">
      <c r="B645" s="156">
        <f t="shared" si="53"/>
        <v>570</v>
      </c>
      <c r="C645">
        <f t="shared" ca="1" si="50"/>
        <v>16170.87123238879</v>
      </c>
      <c r="D645">
        <f t="shared" ca="1" si="51"/>
        <v>12511.292738777745</v>
      </c>
      <c r="E645">
        <f t="shared" ca="1" si="52"/>
        <v>3659.5784936110449</v>
      </c>
    </row>
    <row r="646" spans="2:5" x14ac:dyDescent="0.2">
      <c r="B646" s="156">
        <f t="shared" si="53"/>
        <v>571</v>
      </c>
      <c r="C646">
        <f t="shared" ca="1" si="50"/>
        <v>13656.724548084077</v>
      </c>
      <c r="D646">
        <f t="shared" ca="1" si="51"/>
        <v>12917.748801766544</v>
      </c>
      <c r="E646">
        <f t="shared" ca="1" si="52"/>
        <v>738.97574631753378</v>
      </c>
    </row>
    <row r="647" spans="2:5" x14ac:dyDescent="0.2">
      <c r="B647" s="156">
        <f t="shared" si="53"/>
        <v>572</v>
      </c>
      <c r="C647">
        <f t="shared" ca="1" si="50"/>
        <v>13404.925369798537</v>
      </c>
      <c r="D647">
        <f t="shared" ca="1" si="51"/>
        <v>9342.1928757523328</v>
      </c>
      <c r="E647">
        <f t="shared" ca="1" si="52"/>
        <v>4062.732494046204</v>
      </c>
    </row>
    <row r="648" spans="2:5" x14ac:dyDescent="0.2">
      <c r="B648" s="156">
        <f t="shared" si="53"/>
        <v>573</v>
      </c>
      <c r="C648">
        <f t="shared" ca="1" si="50"/>
        <v>13371.349521594946</v>
      </c>
      <c r="D648">
        <f t="shared" ca="1" si="51"/>
        <v>12658.261760335716</v>
      </c>
      <c r="E648">
        <f t="shared" ca="1" si="52"/>
        <v>713.08776125923032</v>
      </c>
    </row>
    <row r="649" spans="2:5" x14ac:dyDescent="0.2">
      <c r="B649" s="156">
        <f t="shared" si="53"/>
        <v>574</v>
      </c>
      <c r="C649">
        <f t="shared" ca="1" si="50"/>
        <v>16248.32265086181</v>
      </c>
      <c r="D649">
        <f t="shared" ca="1" si="51"/>
        <v>10994.732322956968</v>
      </c>
      <c r="E649">
        <f t="shared" ca="1" si="52"/>
        <v>5253.5903279048416</v>
      </c>
    </row>
    <row r="650" spans="2:5" x14ac:dyDescent="0.2">
      <c r="B650" s="156">
        <f t="shared" si="53"/>
        <v>575</v>
      </c>
      <c r="C650">
        <f t="shared" ca="1" si="50"/>
        <v>15440.560673736074</v>
      </c>
      <c r="D650">
        <f t="shared" ca="1" si="51"/>
        <v>9559.6871791190242</v>
      </c>
      <c r="E650">
        <f t="shared" ca="1" si="52"/>
        <v>5880.8734946170498</v>
      </c>
    </row>
    <row r="651" spans="2:5" x14ac:dyDescent="0.2">
      <c r="B651" s="156">
        <f t="shared" si="53"/>
        <v>576</v>
      </c>
      <c r="C651">
        <f t="shared" ca="1" si="50"/>
        <v>14011.455481621562</v>
      </c>
      <c r="D651">
        <f t="shared" ca="1" si="51"/>
        <v>12078.614805474339</v>
      </c>
      <c r="E651">
        <f t="shared" ca="1" si="52"/>
        <v>1932.8406761472233</v>
      </c>
    </row>
    <row r="652" spans="2:5" x14ac:dyDescent="0.2">
      <c r="B652" s="156">
        <f t="shared" si="53"/>
        <v>577</v>
      </c>
      <c r="C652">
        <f t="shared" ca="1" si="50"/>
        <v>15999.560081993588</v>
      </c>
      <c r="D652">
        <f t="shared" ca="1" si="51"/>
        <v>11727.701273989604</v>
      </c>
      <c r="E652">
        <f t="shared" ca="1" si="52"/>
        <v>4271.8588080039844</v>
      </c>
    </row>
    <row r="653" spans="2:5" x14ac:dyDescent="0.2">
      <c r="B653" s="156">
        <f t="shared" si="53"/>
        <v>578</v>
      </c>
      <c r="C653">
        <f t="shared" ref="C653:C716" ca="1" si="54">$C$70*(1+_xlfn.NORM.S.INV(RAND())*$C$72)</f>
        <v>19982.243063006521</v>
      </c>
      <c r="D653">
        <f t="shared" ref="D653:D716" ca="1" si="55">$C$71*(1+_xlfn.NORM.S.INV(RAND())*$C$73)</f>
        <v>12297.711398723228</v>
      </c>
      <c r="E653">
        <f t="shared" ref="E653:E716" ca="1" si="56">C653-D653</f>
        <v>7684.5316642832931</v>
      </c>
    </row>
    <row r="654" spans="2:5" x14ac:dyDescent="0.2">
      <c r="B654" s="156">
        <f t="shared" ref="B654:B717" si="57">B653+1</f>
        <v>579</v>
      </c>
      <c r="C654">
        <f t="shared" ca="1" si="54"/>
        <v>16273.952145302619</v>
      </c>
      <c r="D654">
        <f t="shared" ca="1" si="55"/>
        <v>12831.060153585524</v>
      </c>
      <c r="E654">
        <f t="shared" ca="1" si="56"/>
        <v>3442.8919917170952</v>
      </c>
    </row>
    <row r="655" spans="2:5" x14ac:dyDescent="0.2">
      <c r="B655" s="156">
        <f t="shared" si="57"/>
        <v>580</v>
      </c>
      <c r="C655">
        <f t="shared" ca="1" si="54"/>
        <v>14989.237083725877</v>
      </c>
      <c r="D655">
        <f t="shared" ca="1" si="55"/>
        <v>12000.550368902184</v>
      </c>
      <c r="E655">
        <f t="shared" ca="1" si="56"/>
        <v>2988.6867148236925</v>
      </c>
    </row>
    <row r="656" spans="2:5" x14ac:dyDescent="0.2">
      <c r="B656" s="156">
        <f t="shared" si="57"/>
        <v>581</v>
      </c>
      <c r="C656">
        <f t="shared" ca="1" si="54"/>
        <v>14037.93583650688</v>
      </c>
      <c r="D656">
        <f t="shared" ca="1" si="55"/>
        <v>11559.742465111573</v>
      </c>
      <c r="E656">
        <f t="shared" ca="1" si="56"/>
        <v>2478.1933713953076</v>
      </c>
    </row>
    <row r="657" spans="2:5" x14ac:dyDescent="0.2">
      <c r="B657" s="156">
        <f t="shared" si="57"/>
        <v>582</v>
      </c>
      <c r="C657">
        <f t="shared" ca="1" si="54"/>
        <v>12528.141086863179</v>
      </c>
      <c r="D657">
        <f t="shared" ca="1" si="55"/>
        <v>10308.605840757447</v>
      </c>
      <c r="E657">
        <f t="shared" ca="1" si="56"/>
        <v>2219.5352461057319</v>
      </c>
    </row>
    <row r="658" spans="2:5" x14ac:dyDescent="0.2">
      <c r="B658" s="156">
        <f t="shared" si="57"/>
        <v>583</v>
      </c>
      <c r="C658">
        <f t="shared" ca="1" si="54"/>
        <v>15162.574429147871</v>
      </c>
      <c r="D658">
        <f t="shared" ca="1" si="55"/>
        <v>11573.787158766072</v>
      </c>
      <c r="E658">
        <f t="shared" ca="1" si="56"/>
        <v>3588.7872703817993</v>
      </c>
    </row>
    <row r="659" spans="2:5" x14ac:dyDescent="0.2">
      <c r="B659" s="156">
        <f t="shared" si="57"/>
        <v>584</v>
      </c>
      <c r="C659">
        <f t="shared" ca="1" si="54"/>
        <v>14355.47917511979</v>
      </c>
      <c r="D659">
        <f t="shared" ca="1" si="55"/>
        <v>9399.2011351896526</v>
      </c>
      <c r="E659">
        <f t="shared" ca="1" si="56"/>
        <v>4956.2780399301373</v>
      </c>
    </row>
    <row r="660" spans="2:5" x14ac:dyDescent="0.2">
      <c r="B660" s="156">
        <f t="shared" si="57"/>
        <v>585</v>
      </c>
      <c r="C660">
        <f t="shared" ca="1" si="54"/>
        <v>15128.097786410348</v>
      </c>
      <c r="D660">
        <f t="shared" ca="1" si="55"/>
        <v>11752.750238826195</v>
      </c>
      <c r="E660">
        <f t="shared" ca="1" si="56"/>
        <v>3375.3475475841533</v>
      </c>
    </row>
    <row r="661" spans="2:5" x14ac:dyDescent="0.2">
      <c r="B661" s="156">
        <f t="shared" si="57"/>
        <v>586</v>
      </c>
      <c r="C661">
        <f t="shared" ca="1" si="54"/>
        <v>13745.221747361849</v>
      </c>
      <c r="D661">
        <f t="shared" ca="1" si="55"/>
        <v>11182.37262950132</v>
      </c>
      <c r="E661">
        <f t="shared" ca="1" si="56"/>
        <v>2562.8491178605291</v>
      </c>
    </row>
    <row r="662" spans="2:5" x14ac:dyDescent="0.2">
      <c r="B662" s="156">
        <f t="shared" si="57"/>
        <v>587</v>
      </c>
      <c r="C662">
        <f t="shared" ca="1" si="54"/>
        <v>13421.103412790033</v>
      </c>
      <c r="D662">
        <f t="shared" ca="1" si="55"/>
        <v>14285.372034603124</v>
      </c>
      <c r="E662">
        <f t="shared" ca="1" si="56"/>
        <v>-864.26862181309116</v>
      </c>
    </row>
    <row r="663" spans="2:5" x14ac:dyDescent="0.2">
      <c r="B663" s="156">
        <f t="shared" si="57"/>
        <v>588</v>
      </c>
      <c r="C663">
        <f t="shared" ca="1" si="54"/>
        <v>12607.843547404067</v>
      </c>
      <c r="D663">
        <f t="shared" ca="1" si="55"/>
        <v>10747.983285484612</v>
      </c>
      <c r="E663">
        <f t="shared" ca="1" si="56"/>
        <v>1859.8602619194553</v>
      </c>
    </row>
    <row r="664" spans="2:5" x14ac:dyDescent="0.2">
      <c r="B664" s="156">
        <f t="shared" si="57"/>
        <v>589</v>
      </c>
      <c r="C664">
        <f t="shared" ca="1" si="54"/>
        <v>13983.642475609151</v>
      </c>
      <c r="D664">
        <f t="shared" ca="1" si="55"/>
        <v>13337.342015200129</v>
      </c>
      <c r="E664">
        <f t="shared" ca="1" si="56"/>
        <v>646.30046040902198</v>
      </c>
    </row>
    <row r="665" spans="2:5" x14ac:dyDescent="0.2">
      <c r="B665" s="156">
        <f t="shared" si="57"/>
        <v>590</v>
      </c>
      <c r="C665">
        <f t="shared" ca="1" si="54"/>
        <v>16365.400602004018</v>
      </c>
      <c r="D665">
        <f t="shared" ca="1" si="55"/>
        <v>11963.915161512721</v>
      </c>
      <c r="E665">
        <f t="shared" ca="1" si="56"/>
        <v>4401.4854404912967</v>
      </c>
    </row>
    <row r="666" spans="2:5" x14ac:dyDescent="0.2">
      <c r="B666" s="156">
        <f t="shared" si="57"/>
        <v>591</v>
      </c>
      <c r="C666">
        <f t="shared" ca="1" si="54"/>
        <v>14264.502725494749</v>
      </c>
      <c r="D666">
        <f t="shared" ca="1" si="55"/>
        <v>13015.202687256913</v>
      </c>
      <c r="E666">
        <f t="shared" ca="1" si="56"/>
        <v>1249.3000382378359</v>
      </c>
    </row>
    <row r="667" spans="2:5" x14ac:dyDescent="0.2">
      <c r="B667" s="156">
        <f t="shared" si="57"/>
        <v>592</v>
      </c>
      <c r="C667">
        <f t="shared" ca="1" si="54"/>
        <v>14344.25271353415</v>
      </c>
      <c r="D667">
        <f t="shared" ca="1" si="55"/>
        <v>11929.830808345336</v>
      </c>
      <c r="E667">
        <f t="shared" ca="1" si="56"/>
        <v>2414.421905188814</v>
      </c>
    </row>
    <row r="668" spans="2:5" x14ac:dyDescent="0.2">
      <c r="B668" s="156">
        <f t="shared" si="57"/>
        <v>593</v>
      </c>
      <c r="C668">
        <f t="shared" ca="1" si="54"/>
        <v>13640.399495257579</v>
      </c>
      <c r="D668">
        <f t="shared" ca="1" si="55"/>
        <v>13061.943438994573</v>
      </c>
      <c r="E668">
        <f t="shared" ca="1" si="56"/>
        <v>578.45605626300676</v>
      </c>
    </row>
    <row r="669" spans="2:5" x14ac:dyDescent="0.2">
      <c r="B669" s="156">
        <f t="shared" si="57"/>
        <v>594</v>
      </c>
      <c r="C669">
        <f t="shared" ca="1" si="54"/>
        <v>13975.060499272771</v>
      </c>
      <c r="D669">
        <f t="shared" ca="1" si="55"/>
        <v>12021.829444972009</v>
      </c>
      <c r="E669">
        <f t="shared" ca="1" si="56"/>
        <v>1953.2310543007625</v>
      </c>
    </row>
    <row r="670" spans="2:5" x14ac:dyDescent="0.2">
      <c r="B670" s="156">
        <f t="shared" si="57"/>
        <v>595</v>
      </c>
      <c r="C670">
        <f t="shared" ca="1" si="54"/>
        <v>18571.67425720903</v>
      </c>
      <c r="D670">
        <f t="shared" ca="1" si="55"/>
        <v>13681.827412748005</v>
      </c>
      <c r="E670">
        <f t="shared" ca="1" si="56"/>
        <v>4889.8468444610244</v>
      </c>
    </row>
    <row r="671" spans="2:5" x14ac:dyDescent="0.2">
      <c r="B671" s="156">
        <f t="shared" si="57"/>
        <v>596</v>
      </c>
      <c r="C671">
        <f t="shared" ca="1" si="54"/>
        <v>15314.993575744003</v>
      </c>
      <c r="D671">
        <f t="shared" ca="1" si="55"/>
        <v>11869.008161335682</v>
      </c>
      <c r="E671">
        <f t="shared" ca="1" si="56"/>
        <v>3445.985414408322</v>
      </c>
    </row>
    <row r="672" spans="2:5" x14ac:dyDescent="0.2">
      <c r="B672" s="156">
        <f t="shared" si="57"/>
        <v>597</v>
      </c>
      <c r="C672">
        <f t="shared" ca="1" si="54"/>
        <v>15344.509134619004</v>
      </c>
      <c r="D672">
        <f t="shared" ca="1" si="55"/>
        <v>13772.773439210565</v>
      </c>
      <c r="E672">
        <f t="shared" ca="1" si="56"/>
        <v>1571.7356954084389</v>
      </c>
    </row>
    <row r="673" spans="2:5" x14ac:dyDescent="0.2">
      <c r="B673" s="156">
        <f t="shared" si="57"/>
        <v>598</v>
      </c>
      <c r="C673">
        <f t="shared" ca="1" si="54"/>
        <v>14099.101256849057</v>
      </c>
      <c r="D673">
        <f t="shared" ca="1" si="55"/>
        <v>13211.41103155125</v>
      </c>
      <c r="E673">
        <f t="shared" ca="1" si="56"/>
        <v>887.69022529780705</v>
      </c>
    </row>
    <row r="674" spans="2:5" x14ac:dyDescent="0.2">
      <c r="B674" s="156">
        <f t="shared" si="57"/>
        <v>599</v>
      </c>
      <c r="C674">
        <f t="shared" ca="1" si="54"/>
        <v>14197.596605705852</v>
      </c>
      <c r="D674">
        <f t="shared" ca="1" si="55"/>
        <v>12320.604425896307</v>
      </c>
      <c r="E674">
        <f t="shared" ca="1" si="56"/>
        <v>1876.9921798095456</v>
      </c>
    </row>
    <row r="675" spans="2:5" x14ac:dyDescent="0.2">
      <c r="B675" s="156">
        <f t="shared" si="57"/>
        <v>600</v>
      </c>
      <c r="C675">
        <f t="shared" ca="1" si="54"/>
        <v>12665.989724778474</v>
      </c>
      <c r="D675">
        <f t="shared" ca="1" si="55"/>
        <v>13259.444816623909</v>
      </c>
      <c r="E675">
        <f t="shared" ca="1" si="56"/>
        <v>-593.45509184543516</v>
      </c>
    </row>
    <row r="676" spans="2:5" x14ac:dyDescent="0.2">
      <c r="B676" s="156">
        <f t="shared" si="57"/>
        <v>601</v>
      </c>
      <c r="C676">
        <f t="shared" ca="1" si="54"/>
        <v>14256.393821174921</v>
      </c>
      <c r="D676">
        <f t="shared" ca="1" si="55"/>
        <v>12981.433440001945</v>
      </c>
      <c r="E676">
        <f t="shared" ca="1" si="56"/>
        <v>1274.9603811729758</v>
      </c>
    </row>
    <row r="677" spans="2:5" x14ac:dyDescent="0.2">
      <c r="B677" s="156">
        <f t="shared" si="57"/>
        <v>602</v>
      </c>
      <c r="C677">
        <f t="shared" ca="1" si="54"/>
        <v>13349.695854802389</v>
      </c>
      <c r="D677">
        <f t="shared" ca="1" si="55"/>
        <v>11307.540292084821</v>
      </c>
      <c r="E677">
        <f t="shared" ca="1" si="56"/>
        <v>2042.1555627175676</v>
      </c>
    </row>
    <row r="678" spans="2:5" x14ac:dyDescent="0.2">
      <c r="B678" s="156">
        <f t="shared" si="57"/>
        <v>603</v>
      </c>
      <c r="C678">
        <f t="shared" ca="1" si="54"/>
        <v>12367.972378966384</v>
      </c>
      <c r="D678">
        <f t="shared" ca="1" si="55"/>
        <v>11198.194776873414</v>
      </c>
      <c r="E678">
        <f t="shared" ca="1" si="56"/>
        <v>1169.7776020929705</v>
      </c>
    </row>
    <row r="679" spans="2:5" x14ac:dyDescent="0.2">
      <c r="B679" s="156">
        <f t="shared" si="57"/>
        <v>604</v>
      </c>
      <c r="C679">
        <f t="shared" ca="1" si="54"/>
        <v>15555.024894151151</v>
      </c>
      <c r="D679">
        <f t="shared" ca="1" si="55"/>
        <v>14321.336261554859</v>
      </c>
      <c r="E679">
        <f t="shared" ca="1" si="56"/>
        <v>1233.6886325962914</v>
      </c>
    </row>
    <row r="680" spans="2:5" x14ac:dyDescent="0.2">
      <c r="B680" s="156">
        <f t="shared" si="57"/>
        <v>605</v>
      </c>
      <c r="C680">
        <f t="shared" ca="1" si="54"/>
        <v>17746.814123619242</v>
      </c>
      <c r="D680">
        <f t="shared" ca="1" si="55"/>
        <v>12096.918354486168</v>
      </c>
      <c r="E680">
        <f t="shared" ca="1" si="56"/>
        <v>5649.8957691330743</v>
      </c>
    </row>
    <row r="681" spans="2:5" x14ac:dyDescent="0.2">
      <c r="B681" s="156">
        <f t="shared" si="57"/>
        <v>606</v>
      </c>
      <c r="C681">
        <f t="shared" ca="1" si="54"/>
        <v>12605.301348837131</v>
      </c>
      <c r="D681">
        <f t="shared" ca="1" si="55"/>
        <v>12957.433167545703</v>
      </c>
      <c r="E681">
        <f t="shared" ca="1" si="56"/>
        <v>-352.13181870857261</v>
      </c>
    </row>
    <row r="682" spans="2:5" x14ac:dyDescent="0.2">
      <c r="B682" s="156">
        <f t="shared" si="57"/>
        <v>607</v>
      </c>
      <c r="C682">
        <f t="shared" ca="1" si="54"/>
        <v>15561.436079273251</v>
      </c>
      <c r="D682">
        <f t="shared" ca="1" si="55"/>
        <v>11700.262954617525</v>
      </c>
      <c r="E682">
        <f t="shared" ca="1" si="56"/>
        <v>3861.1731246557265</v>
      </c>
    </row>
    <row r="683" spans="2:5" x14ac:dyDescent="0.2">
      <c r="B683" s="156">
        <f t="shared" si="57"/>
        <v>608</v>
      </c>
      <c r="C683">
        <f t="shared" ca="1" si="54"/>
        <v>12260.501937623458</v>
      </c>
      <c r="D683">
        <f t="shared" ca="1" si="55"/>
        <v>12482.225056342671</v>
      </c>
      <c r="E683">
        <f t="shared" ca="1" si="56"/>
        <v>-221.72311871921374</v>
      </c>
    </row>
    <row r="684" spans="2:5" x14ac:dyDescent="0.2">
      <c r="B684" s="156">
        <f t="shared" si="57"/>
        <v>609</v>
      </c>
      <c r="C684">
        <f t="shared" ca="1" si="54"/>
        <v>12149.255094512433</v>
      </c>
      <c r="D684">
        <f t="shared" ca="1" si="55"/>
        <v>12085.541788721757</v>
      </c>
      <c r="E684">
        <f t="shared" ca="1" si="56"/>
        <v>63.713305790675804</v>
      </c>
    </row>
    <row r="685" spans="2:5" x14ac:dyDescent="0.2">
      <c r="B685" s="156">
        <f t="shared" si="57"/>
        <v>610</v>
      </c>
      <c r="C685">
        <f t="shared" ca="1" si="54"/>
        <v>14199.471221891965</v>
      </c>
      <c r="D685">
        <f t="shared" ca="1" si="55"/>
        <v>12052.692888336043</v>
      </c>
      <c r="E685">
        <f t="shared" ca="1" si="56"/>
        <v>2146.7783335559216</v>
      </c>
    </row>
    <row r="686" spans="2:5" x14ac:dyDescent="0.2">
      <c r="B686" s="156">
        <f t="shared" si="57"/>
        <v>611</v>
      </c>
      <c r="C686">
        <f t="shared" ca="1" si="54"/>
        <v>13506.153131016741</v>
      </c>
      <c r="D686">
        <f t="shared" ca="1" si="55"/>
        <v>11173.858971761714</v>
      </c>
      <c r="E686">
        <f t="shared" ca="1" si="56"/>
        <v>2332.2941592550269</v>
      </c>
    </row>
    <row r="687" spans="2:5" x14ac:dyDescent="0.2">
      <c r="B687" s="156">
        <f t="shared" si="57"/>
        <v>612</v>
      </c>
      <c r="C687">
        <f t="shared" ca="1" si="54"/>
        <v>15114.390621970355</v>
      </c>
      <c r="D687">
        <f t="shared" ca="1" si="55"/>
        <v>9718.3209787046726</v>
      </c>
      <c r="E687">
        <f t="shared" ca="1" si="56"/>
        <v>5396.0696432656823</v>
      </c>
    </row>
    <row r="688" spans="2:5" x14ac:dyDescent="0.2">
      <c r="B688" s="156">
        <f t="shared" si="57"/>
        <v>613</v>
      </c>
      <c r="C688">
        <f t="shared" ca="1" si="54"/>
        <v>15464.850677049155</v>
      </c>
      <c r="D688">
        <f t="shared" ca="1" si="55"/>
        <v>12566.920195560042</v>
      </c>
      <c r="E688">
        <f t="shared" ca="1" si="56"/>
        <v>2897.9304814891129</v>
      </c>
    </row>
    <row r="689" spans="2:5" x14ac:dyDescent="0.2">
      <c r="B689" s="156">
        <f t="shared" si="57"/>
        <v>614</v>
      </c>
      <c r="C689">
        <f t="shared" ca="1" si="54"/>
        <v>16187.569207363196</v>
      </c>
      <c r="D689">
        <f t="shared" ca="1" si="55"/>
        <v>11121.777264711873</v>
      </c>
      <c r="E689">
        <f t="shared" ca="1" si="56"/>
        <v>5065.7919426513236</v>
      </c>
    </row>
    <row r="690" spans="2:5" x14ac:dyDescent="0.2">
      <c r="B690" s="156">
        <f t="shared" si="57"/>
        <v>615</v>
      </c>
      <c r="C690">
        <f t="shared" ca="1" si="54"/>
        <v>15113.129520352768</v>
      </c>
      <c r="D690">
        <f t="shared" ca="1" si="55"/>
        <v>11586.877059400176</v>
      </c>
      <c r="E690">
        <f t="shared" ca="1" si="56"/>
        <v>3526.2524609525917</v>
      </c>
    </row>
    <row r="691" spans="2:5" x14ac:dyDescent="0.2">
      <c r="B691" s="156">
        <f t="shared" si="57"/>
        <v>616</v>
      </c>
      <c r="C691">
        <f t="shared" ca="1" si="54"/>
        <v>16427.586411592445</v>
      </c>
      <c r="D691">
        <f t="shared" ca="1" si="55"/>
        <v>13400.973202864736</v>
      </c>
      <c r="E691">
        <f t="shared" ca="1" si="56"/>
        <v>3026.6132087277092</v>
      </c>
    </row>
    <row r="692" spans="2:5" x14ac:dyDescent="0.2">
      <c r="B692" s="156">
        <f t="shared" si="57"/>
        <v>617</v>
      </c>
      <c r="C692">
        <f t="shared" ca="1" si="54"/>
        <v>14579.720040202219</v>
      </c>
      <c r="D692">
        <f t="shared" ca="1" si="55"/>
        <v>9501.472190821456</v>
      </c>
      <c r="E692">
        <f t="shared" ca="1" si="56"/>
        <v>5078.247849380763</v>
      </c>
    </row>
    <row r="693" spans="2:5" x14ac:dyDescent="0.2">
      <c r="B693" s="156">
        <f t="shared" si="57"/>
        <v>618</v>
      </c>
      <c r="C693">
        <f t="shared" ca="1" si="54"/>
        <v>16846.627878561765</v>
      </c>
      <c r="D693">
        <f t="shared" ca="1" si="55"/>
        <v>10895.474828678898</v>
      </c>
      <c r="E693">
        <f t="shared" ca="1" si="56"/>
        <v>5951.153049882867</v>
      </c>
    </row>
    <row r="694" spans="2:5" x14ac:dyDescent="0.2">
      <c r="B694" s="156">
        <f t="shared" si="57"/>
        <v>619</v>
      </c>
      <c r="C694">
        <f t="shared" ca="1" si="54"/>
        <v>14822.303178532391</v>
      </c>
      <c r="D694">
        <f t="shared" ca="1" si="55"/>
        <v>15132.784562421535</v>
      </c>
      <c r="E694">
        <f t="shared" ca="1" si="56"/>
        <v>-310.48138388914413</v>
      </c>
    </row>
    <row r="695" spans="2:5" x14ac:dyDescent="0.2">
      <c r="B695" s="156">
        <f t="shared" si="57"/>
        <v>620</v>
      </c>
      <c r="C695">
        <f t="shared" ca="1" si="54"/>
        <v>11908.08016960424</v>
      </c>
      <c r="D695">
        <f t="shared" ca="1" si="55"/>
        <v>11803.79174084471</v>
      </c>
      <c r="E695">
        <f t="shared" ca="1" si="56"/>
        <v>104.28842875952978</v>
      </c>
    </row>
    <row r="696" spans="2:5" x14ac:dyDescent="0.2">
      <c r="B696" s="156">
        <f t="shared" si="57"/>
        <v>621</v>
      </c>
      <c r="C696">
        <f t="shared" ca="1" si="54"/>
        <v>13200.818685781785</v>
      </c>
      <c r="D696">
        <f t="shared" ca="1" si="55"/>
        <v>10567.456787038915</v>
      </c>
      <c r="E696">
        <f t="shared" ca="1" si="56"/>
        <v>2633.3618987428708</v>
      </c>
    </row>
    <row r="697" spans="2:5" x14ac:dyDescent="0.2">
      <c r="B697" s="156">
        <f t="shared" si="57"/>
        <v>622</v>
      </c>
      <c r="C697">
        <f t="shared" ca="1" si="54"/>
        <v>13516.46798770542</v>
      </c>
      <c r="D697">
        <f t="shared" ca="1" si="55"/>
        <v>11096.502449625354</v>
      </c>
      <c r="E697">
        <f t="shared" ca="1" si="56"/>
        <v>2419.9655380800668</v>
      </c>
    </row>
    <row r="698" spans="2:5" x14ac:dyDescent="0.2">
      <c r="B698" s="156">
        <f t="shared" si="57"/>
        <v>623</v>
      </c>
      <c r="C698">
        <f t="shared" ca="1" si="54"/>
        <v>13095.822787247109</v>
      </c>
      <c r="D698">
        <f t="shared" ca="1" si="55"/>
        <v>8200.6068537544379</v>
      </c>
      <c r="E698">
        <f t="shared" ca="1" si="56"/>
        <v>4895.215933492671</v>
      </c>
    </row>
    <row r="699" spans="2:5" x14ac:dyDescent="0.2">
      <c r="B699" s="156">
        <f t="shared" si="57"/>
        <v>624</v>
      </c>
      <c r="C699">
        <f t="shared" ca="1" si="54"/>
        <v>14270.166110705974</v>
      </c>
      <c r="D699">
        <f t="shared" ca="1" si="55"/>
        <v>11696.400326050083</v>
      </c>
      <c r="E699">
        <f t="shared" ca="1" si="56"/>
        <v>2573.7657846558905</v>
      </c>
    </row>
    <row r="700" spans="2:5" x14ac:dyDescent="0.2">
      <c r="B700" s="156">
        <f t="shared" si="57"/>
        <v>625</v>
      </c>
      <c r="C700">
        <f t="shared" ca="1" si="54"/>
        <v>14239.063622125275</v>
      </c>
      <c r="D700">
        <f t="shared" ca="1" si="55"/>
        <v>10278.744529341744</v>
      </c>
      <c r="E700">
        <f t="shared" ca="1" si="56"/>
        <v>3960.3190927835312</v>
      </c>
    </row>
    <row r="701" spans="2:5" x14ac:dyDescent="0.2">
      <c r="B701" s="156">
        <f t="shared" si="57"/>
        <v>626</v>
      </c>
      <c r="C701">
        <f t="shared" ca="1" si="54"/>
        <v>13929.219335507167</v>
      </c>
      <c r="D701">
        <f t="shared" ca="1" si="55"/>
        <v>10033.267746605623</v>
      </c>
      <c r="E701">
        <f t="shared" ca="1" si="56"/>
        <v>3895.9515889015438</v>
      </c>
    </row>
    <row r="702" spans="2:5" x14ac:dyDescent="0.2">
      <c r="B702" s="156">
        <f t="shared" si="57"/>
        <v>627</v>
      </c>
      <c r="C702">
        <f t="shared" ca="1" si="54"/>
        <v>13739.726161310311</v>
      </c>
      <c r="D702">
        <f t="shared" ca="1" si="55"/>
        <v>11953.153328390663</v>
      </c>
      <c r="E702">
        <f t="shared" ca="1" si="56"/>
        <v>1786.5728329196481</v>
      </c>
    </row>
    <row r="703" spans="2:5" x14ac:dyDescent="0.2">
      <c r="B703" s="156">
        <f t="shared" si="57"/>
        <v>628</v>
      </c>
      <c r="C703">
        <f t="shared" ca="1" si="54"/>
        <v>15259.686599878751</v>
      </c>
      <c r="D703">
        <f t="shared" ca="1" si="55"/>
        <v>10555.368221714607</v>
      </c>
      <c r="E703">
        <f t="shared" ca="1" si="56"/>
        <v>4704.3183781641437</v>
      </c>
    </row>
    <row r="704" spans="2:5" x14ac:dyDescent="0.2">
      <c r="B704" s="156">
        <f t="shared" si="57"/>
        <v>629</v>
      </c>
      <c r="C704">
        <f t="shared" ca="1" si="54"/>
        <v>13690.545200015084</v>
      </c>
      <c r="D704">
        <f t="shared" ca="1" si="55"/>
        <v>11958.706251766502</v>
      </c>
      <c r="E704">
        <f t="shared" ca="1" si="56"/>
        <v>1731.8389482485818</v>
      </c>
    </row>
    <row r="705" spans="2:5" x14ac:dyDescent="0.2">
      <c r="B705" s="156">
        <f t="shared" si="57"/>
        <v>630</v>
      </c>
      <c r="C705">
        <f t="shared" ca="1" si="54"/>
        <v>15034.694866640095</v>
      </c>
      <c r="D705">
        <f t="shared" ca="1" si="55"/>
        <v>11155.82318321096</v>
      </c>
      <c r="E705">
        <f t="shared" ca="1" si="56"/>
        <v>3878.8716834291354</v>
      </c>
    </row>
    <row r="706" spans="2:5" x14ac:dyDescent="0.2">
      <c r="B706" s="156">
        <f t="shared" si="57"/>
        <v>631</v>
      </c>
      <c r="C706">
        <f t="shared" ca="1" si="54"/>
        <v>15126.212273489371</v>
      </c>
      <c r="D706">
        <f t="shared" ca="1" si="55"/>
        <v>10709.721190179951</v>
      </c>
      <c r="E706">
        <f t="shared" ca="1" si="56"/>
        <v>4416.49108330942</v>
      </c>
    </row>
    <row r="707" spans="2:5" x14ac:dyDescent="0.2">
      <c r="B707" s="156">
        <f t="shared" si="57"/>
        <v>632</v>
      </c>
      <c r="C707">
        <f t="shared" ca="1" si="54"/>
        <v>15133.46290021298</v>
      </c>
      <c r="D707">
        <f t="shared" ca="1" si="55"/>
        <v>11390.458903065832</v>
      </c>
      <c r="E707">
        <f t="shared" ca="1" si="56"/>
        <v>3743.0039971471488</v>
      </c>
    </row>
    <row r="708" spans="2:5" x14ac:dyDescent="0.2">
      <c r="B708" s="156">
        <f t="shared" si="57"/>
        <v>633</v>
      </c>
      <c r="C708">
        <f t="shared" ca="1" si="54"/>
        <v>14126.640322118565</v>
      </c>
      <c r="D708">
        <f t="shared" ca="1" si="55"/>
        <v>14688.116908841137</v>
      </c>
      <c r="E708">
        <f t="shared" ca="1" si="56"/>
        <v>-561.47658672257239</v>
      </c>
    </row>
    <row r="709" spans="2:5" x14ac:dyDescent="0.2">
      <c r="B709" s="156">
        <f t="shared" si="57"/>
        <v>634</v>
      </c>
      <c r="C709">
        <f t="shared" ca="1" si="54"/>
        <v>14712.862303605407</v>
      </c>
      <c r="D709">
        <f t="shared" ca="1" si="55"/>
        <v>11729.63160731581</v>
      </c>
      <c r="E709">
        <f t="shared" ca="1" si="56"/>
        <v>2983.2306962895964</v>
      </c>
    </row>
    <row r="710" spans="2:5" x14ac:dyDescent="0.2">
      <c r="B710" s="156">
        <f t="shared" si="57"/>
        <v>635</v>
      </c>
      <c r="C710">
        <f t="shared" ca="1" si="54"/>
        <v>13901.02128259762</v>
      </c>
      <c r="D710">
        <f t="shared" ca="1" si="55"/>
        <v>11709.218822514387</v>
      </c>
      <c r="E710">
        <f t="shared" ca="1" si="56"/>
        <v>2191.8024600832323</v>
      </c>
    </row>
    <row r="711" spans="2:5" x14ac:dyDescent="0.2">
      <c r="B711" s="156">
        <f t="shared" si="57"/>
        <v>636</v>
      </c>
      <c r="C711">
        <f t="shared" ca="1" si="54"/>
        <v>13908.749088754359</v>
      </c>
      <c r="D711">
        <f t="shared" ca="1" si="55"/>
        <v>11569.532158527274</v>
      </c>
      <c r="E711">
        <f t="shared" ca="1" si="56"/>
        <v>2339.216930227085</v>
      </c>
    </row>
    <row r="712" spans="2:5" x14ac:dyDescent="0.2">
      <c r="B712" s="156">
        <f t="shared" si="57"/>
        <v>637</v>
      </c>
      <c r="C712">
        <f t="shared" ca="1" si="54"/>
        <v>12383.48770791467</v>
      </c>
      <c r="D712">
        <f t="shared" ca="1" si="55"/>
        <v>10899.245889950338</v>
      </c>
      <c r="E712">
        <f t="shared" ca="1" si="56"/>
        <v>1484.2418179643319</v>
      </c>
    </row>
    <row r="713" spans="2:5" x14ac:dyDescent="0.2">
      <c r="B713" s="156">
        <f t="shared" si="57"/>
        <v>638</v>
      </c>
      <c r="C713">
        <f t="shared" ca="1" si="54"/>
        <v>14163.133552000078</v>
      </c>
      <c r="D713">
        <f t="shared" ca="1" si="55"/>
        <v>11547.007773700219</v>
      </c>
      <c r="E713">
        <f t="shared" ca="1" si="56"/>
        <v>2616.1257782998582</v>
      </c>
    </row>
    <row r="714" spans="2:5" x14ac:dyDescent="0.2">
      <c r="B714" s="156">
        <f t="shared" si="57"/>
        <v>639</v>
      </c>
      <c r="C714">
        <f t="shared" ca="1" si="54"/>
        <v>14077.504301615212</v>
      </c>
      <c r="D714">
        <f t="shared" ca="1" si="55"/>
        <v>12428.041946422911</v>
      </c>
      <c r="E714">
        <f t="shared" ca="1" si="56"/>
        <v>1649.4623551923014</v>
      </c>
    </row>
    <row r="715" spans="2:5" x14ac:dyDescent="0.2">
      <c r="B715" s="156">
        <f t="shared" si="57"/>
        <v>640</v>
      </c>
      <c r="C715">
        <f t="shared" ca="1" si="54"/>
        <v>14544.931966896202</v>
      </c>
      <c r="D715">
        <f t="shared" ca="1" si="55"/>
        <v>12427.699344279699</v>
      </c>
      <c r="E715">
        <f t="shared" ca="1" si="56"/>
        <v>2117.2326226165023</v>
      </c>
    </row>
    <row r="716" spans="2:5" x14ac:dyDescent="0.2">
      <c r="B716" s="156">
        <f t="shared" si="57"/>
        <v>641</v>
      </c>
      <c r="C716">
        <f t="shared" ca="1" si="54"/>
        <v>13697.281784018052</v>
      </c>
      <c r="D716">
        <f t="shared" ca="1" si="55"/>
        <v>10652.869768775528</v>
      </c>
      <c r="E716">
        <f t="shared" ca="1" si="56"/>
        <v>3044.4120152425239</v>
      </c>
    </row>
    <row r="717" spans="2:5" x14ac:dyDescent="0.2">
      <c r="B717" s="156">
        <f t="shared" si="57"/>
        <v>642</v>
      </c>
      <c r="C717">
        <f t="shared" ref="C717:C780" ca="1" si="58">$C$70*(1+_xlfn.NORM.S.INV(RAND())*$C$72)</f>
        <v>17208.807608857689</v>
      </c>
      <c r="D717">
        <f t="shared" ref="D717:D780" ca="1" si="59">$C$71*(1+_xlfn.NORM.S.INV(RAND())*$C$73)</f>
        <v>12107.85316046443</v>
      </c>
      <c r="E717">
        <f t="shared" ref="E717:E780" ca="1" si="60">C717-D717</f>
        <v>5100.9544483932586</v>
      </c>
    </row>
    <row r="718" spans="2:5" x14ac:dyDescent="0.2">
      <c r="B718" s="156">
        <f t="shared" ref="B718:B781" si="61">B717+1</f>
        <v>643</v>
      </c>
      <c r="C718">
        <f t="shared" ca="1" si="58"/>
        <v>16048.543951184429</v>
      </c>
      <c r="D718">
        <f t="shared" ca="1" si="59"/>
        <v>12541.967989741677</v>
      </c>
      <c r="E718">
        <f t="shared" ca="1" si="60"/>
        <v>3506.5759614427516</v>
      </c>
    </row>
    <row r="719" spans="2:5" x14ac:dyDescent="0.2">
      <c r="B719" s="156">
        <f t="shared" si="61"/>
        <v>644</v>
      </c>
      <c r="C719">
        <f t="shared" ca="1" si="58"/>
        <v>14686.583800419014</v>
      </c>
      <c r="D719">
        <f t="shared" ca="1" si="59"/>
        <v>13942.250026418824</v>
      </c>
      <c r="E719">
        <f t="shared" ca="1" si="60"/>
        <v>744.33377400018981</v>
      </c>
    </row>
    <row r="720" spans="2:5" x14ac:dyDescent="0.2">
      <c r="B720" s="156">
        <f t="shared" si="61"/>
        <v>645</v>
      </c>
      <c r="C720">
        <f t="shared" ca="1" si="58"/>
        <v>14725.492203859847</v>
      </c>
      <c r="D720">
        <f t="shared" ca="1" si="59"/>
        <v>11226.102268584151</v>
      </c>
      <c r="E720">
        <f t="shared" ca="1" si="60"/>
        <v>3499.3899352756962</v>
      </c>
    </row>
    <row r="721" spans="2:5" x14ac:dyDescent="0.2">
      <c r="B721" s="156">
        <f t="shared" si="61"/>
        <v>646</v>
      </c>
      <c r="C721">
        <f t="shared" ca="1" si="58"/>
        <v>13150.856381947744</v>
      </c>
      <c r="D721">
        <f t="shared" ca="1" si="59"/>
        <v>10862.401924561555</v>
      </c>
      <c r="E721">
        <f t="shared" ca="1" si="60"/>
        <v>2288.4544573861895</v>
      </c>
    </row>
    <row r="722" spans="2:5" x14ac:dyDescent="0.2">
      <c r="B722" s="156">
        <f t="shared" si="61"/>
        <v>647</v>
      </c>
      <c r="C722">
        <f t="shared" ca="1" si="58"/>
        <v>15766.375189338713</v>
      </c>
      <c r="D722">
        <f t="shared" ca="1" si="59"/>
        <v>12451.112055676245</v>
      </c>
      <c r="E722">
        <f t="shared" ca="1" si="60"/>
        <v>3315.2631336624672</v>
      </c>
    </row>
    <row r="723" spans="2:5" x14ac:dyDescent="0.2">
      <c r="B723" s="156">
        <f t="shared" si="61"/>
        <v>648</v>
      </c>
      <c r="C723">
        <f t="shared" ca="1" si="58"/>
        <v>12588.074723415515</v>
      </c>
      <c r="D723">
        <f t="shared" ca="1" si="59"/>
        <v>12859.204018385741</v>
      </c>
      <c r="E723">
        <f t="shared" ca="1" si="60"/>
        <v>-271.1292949702256</v>
      </c>
    </row>
    <row r="724" spans="2:5" x14ac:dyDescent="0.2">
      <c r="B724" s="156">
        <f t="shared" si="61"/>
        <v>649</v>
      </c>
      <c r="C724">
        <f t="shared" ca="1" si="58"/>
        <v>13968.416354288425</v>
      </c>
      <c r="D724">
        <f t="shared" ca="1" si="59"/>
        <v>14199.317900152508</v>
      </c>
      <c r="E724">
        <f t="shared" ca="1" si="60"/>
        <v>-230.90154586408244</v>
      </c>
    </row>
    <row r="725" spans="2:5" x14ac:dyDescent="0.2">
      <c r="B725" s="156">
        <f t="shared" si="61"/>
        <v>650</v>
      </c>
      <c r="C725">
        <f t="shared" ca="1" si="58"/>
        <v>13972.647879830114</v>
      </c>
      <c r="D725">
        <f t="shared" ca="1" si="59"/>
        <v>10924.911838643739</v>
      </c>
      <c r="E725">
        <f t="shared" ca="1" si="60"/>
        <v>3047.7360411863756</v>
      </c>
    </row>
    <row r="726" spans="2:5" x14ac:dyDescent="0.2">
      <c r="B726" s="156">
        <f t="shared" si="61"/>
        <v>651</v>
      </c>
      <c r="C726">
        <f t="shared" ca="1" si="58"/>
        <v>14197.040047265085</v>
      </c>
      <c r="D726">
        <f t="shared" ca="1" si="59"/>
        <v>12037.832957897434</v>
      </c>
      <c r="E726">
        <f t="shared" ca="1" si="60"/>
        <v>2159.2070893676519</v>
      </c>
    </row>
    <row r="727" spans="2:5" x14ac:dyDescent="0.2">
      <c r="B727" s="156">
        <f t="shared" si="61"/>
        <v>652</v>
      </c>
      <c r="C727">
        <f t="shared" ca="1" si="58"/>
        <v>16459.219095355034</v>
      </c>
      <c r="D727">
        <f t="shared" ca="1" si="59"/>
        <v>11441.282499476276</v>
      </c>
      <c r="E727">
        <f t="shared" ca="1" si="60"/>
        <v>5017.9365958787585</v>
      </c>
    </row>
    <row r="728" spans="2:5" x14ac:dyDescent="0.2">
      <c r="B728" s="156">
        <f t="shared" si="61"/>
        <v>653</v>
      </c>
      <c r="C728">
        <f t="shared" ca="1" si="58"/>
        <v>15586.376000312026</v>
      </c>
      <c r="D728">
        <f t="shared" ca="1" si="59"/>
        <v>13911.364393118203</v>
      </c>
      <c r="E728">
        <f t="shared" ca="1" si="60"/>
        <v>1675.0116071938228</v>
      </c>
    </row>
    <row r="729" spans="2:5" x14ac:dyDescent="0.2">
      <c r="B729" s="156">
        <f t="shared" si="61"/>
        <v>654</v>
      </c>
      <c r="C729">
        <f t="shared" ca="1" si="58"/>
        <v>13455.902274382221</v>
      </c>
      <c r="D729">
        <f t="shared" ca="1" si="59"/>
        <v>13978.280947274468</v>
      </c>
      <c r="E729">
        <f t="shared" ca="1" si="60"/>
        <v>-522.37867289224778</v>
      </c>
    </row>
    <row r="730" spans="2:5" x14ac:dyDescent="0.2">
      <c r="B730" s="156">
        <f t="shared" si="61"/>
        <v>655</v>
      </c>
      <c r="C730">
        <f t="shared" ca="1" si="58"/>
        <v>15133.018360268883</v>
      </c>
      <c r="D730">
        <f t="shared" ca="1" si="59"/>
        <v>11113.297145666613</v>
      </c>
      <c r="E730">
        <f t="shared" ca="1" si="60"/>
        <v>4019.7212146022703</v>
      </c>
    </row>
    <row r="731" spans="2:5" x14ac:dyDescent="0.2">
      <c r="B731" s="156">
        <f t="shared" si="61"/>
        <v>656</v>
      </c>
      <c r="C731">
        <f t="shared" ca="1" si="58"/>
        <v>13827.276795934215</v>
      </c>
      <c r="D731">
        <f t="shared" ca="1" si="59"/>
        <v>12634.892605363626</v>
      </c>
      <c r="E731">
        <f t="shared" ca="1" si="60"/>
        <v>1192.3841905705885</v>
      </c>
    </row>
    <row r="732" spans="2:5" x14ac:dyDescent="0.2">
      <c r="B732" s="156">
        <f t="shared" si="61"/>
        <v>657</v>
      </c>
      <c r="C732">
        <f t="shared" ca="1" si="58"/>
        <v>14299.99408368245</v>
      </c>
      <c r="D732">
        <f t="shared" ca="1" si="59"/>
        <v>13289.88766900942</v>
      </c>
      <c r="E732">
        <f t="shared" ca="1" si="60"/>
        <v>1010.1064146730296</v>
      </c>
    </row>
    <row r="733" spans="2:5" x14ac:dyDescent="0.2">
      <c r="B733" s="156">
        <f t="shared" si="61"/>
        <v>658</v>
      </c>
      <c r="C733">
        <f t="shared" ca="1" si="58"/>
        <v>17316.131463679551</v>
      </c>
      <c r="D733">
        <f t="shared" ca="1" si="59"/>
        <v>12256.373253529262</v>
      </c>
      <c r="E733">
        <f t="shared" ca="1" si="60"/>
        <v>5059.7582101502885</v>
      </c>
    </row>
    <row r="734" spans="2:5" x14ac:dyDescent="0.2">
      <c r="B734" s="156">
        <f t="shared" si="61"/>
        <v>659</v>
      </c>
      <c r="C734">
        <f t="shared" ca="1" si="58"/>
        <v>14461.624209535339</v>
      </c>
      <c r="D734">
        <f t="shared" ca="1" si="59"/>
        <v>12513.576282251879</v>
      </c>
      <c r="E734">
        <f t="shared" ca="1" si="60"/>
        <v>1948.04792728346</v>
      </c>
    </row>
    <row r="735" spans="2:5" x14ac:dyDescent="0.2">
      <c r="B735" s="156">
        <f t="shared" si="61"/>
        <v>660</v>
      </c>
      <c r="C735">
        <f t="shared" ca="1" si="58"/>
        <v>14827.265246422687</v>
      </c>
      <c r="D735">
        <f t="shared" ca="1" si="59"/>
        <v>11235.448037284597</v>
      </c>
      <c r="E735">
        <f t="shared" ca="1" si="60"/>
        <v>3591.8172091380893</v>
      </c>
    </row>
    <row r="736" spans="2:5" x14ac:dyDescent="0.2">
      <c r="B736" s="156">
        <f t="shared" si="61"/>
        <v>661</v>
      </c>
      <c r="C736">
        <f t="shared" ca="1" si="58"/>
        <v>13436.17454150055</v>
      </c>
      <c r="D736">
        <f t="shared" ca="1" si="59"/>
        <v>12138.020051588968</v>
      </c>
      <c r="E736">
        <f t="shared" ca="1" si="60"/>
        <v>1298.1544899115815</v>
      </c>
    </row>
    <row r="737" spans="2:5" x14ac:dyDescent="0.2">
      <c r="B737" s="156">
        <f t="shared" si="61"/>
        <v>662</v>
      </c>
      <c r="C737">
        <f t="shared" ca="1" si="58"/>
        <v>14967.904031165446</v>
      </c>
      <c r="D737">
        <f t="shared" ca="1" si="59"/>
        <v>11848.436643161249</v>
      </c>
      <c r="E737">
        <f t="shared" ca="1" si="60"/>
        <v>3119.4673880041973</v>
      </c>
    </row>
    <row r="738" spans="2:5" x14ac:dyDescent="0.2">
      <c r="B738" s="156">
        <f t="shared" si="61"/>
        <v>663</v>
      </c>
      <c r="C738">
        <f t="shared" ca="1" si="58"/>
        <v>14977.034776171189</v>
      </c>
      <c r="D738">
        <f t="shared" ca="1" si="59"/>
        <v>10701.740441489179</v>
      </c>
      <c r="E738">
        <f t="shared" ca="1" si="60"/>
        <v>4275.2943346820102</v>
      </c>
    </row>
    <row r="739" spans="2:5" x14ac:dyDescent="0.2">
      <c r="B739" s="156">
        <f t="shared" si="61"/>
        <v>664</v>
      </c>
      <c r="C739">
        <f t="shared" ca="1" si="58"/>
        <v>16601.45559967908</v>
      </c>
      <c r="D739">
        <f t="shared" ca="1" si="59"/>
        <v>11458.406759134878</v>
      </c>
      <c r="E739">
        <f t="shared" ca="1" si="60"/>
        <v>5143.0488405442029</v>
      </c>
    </row>
    <row r="740" spans="2:5" x14ac:dyDescent="0.2">
      <c r="B740" s="156">
        <f t="shared" si="61"/>
        <v>665</v>
      </c>
      <c r="C740">
        <f t="shared" ca="1" si="58"/>
        <v>17387.681773455311</v>
      </c>
      <c r="D740">
        <f t="shared" ca="1" si="59"/>
        <v>11778.074170302401</v>
      </c>
      <c r="E740">
        <f t="shared" ca="1" si="60"/>
        <v>5609.6076031529101</v>
      </c>
    </row>
    <row r="741" spans="2:5" x14ac:dyDescent="0.2">
      <c r="B741" s="156">
        <f t="shared" si="61"/>
        <v>666</v>
      </c>
      <c r="C741">
        <f t="shared" ca="1" si="58"/>
        <v>12208.996918126235</v>
      </c>
      <c r="D741">
        <f t="shared" ca="1" si="59"/>
        <v>11540.818948146218</v>
      </c>
      <c r="E741">
        <f t="shared" ca="1" si="60"/>
        <v>668.17796998001722</v>
      </c>
    </row>
    <row r="742" spans="2:5" x14ac:dyDescent="0.2">
      <c r="B742" s="156">
        <f t="shared" si="61"/>
        <v>667</v>
      </c>
      <c r="C742">
        <f t="shared" ca="1" si="58"/>
        <v>14034.963206898587</v>
      </c>
      <c r="D742">
        <f t="shared" ca="1" si="59"/>
        <v>10421.253451229739</v>
      </c>
      <c r="E742">
        <f t="shared" ca="1" si="60"/>
        <v>3613.7097556688477</v>
      </c>
    </row>
    <row r="743" spans="2:5" x14ac:dyDescent="0.2">
      <c r="B743" s="156">
        <f t="shared" si="61"/>
        <v>668</v>
      </c>
      <c r="C743">
        <f t="shared" ca="1" si="58"/>
        <v>12449.99032701973</v>
      </c>
      <c r="D743">
        <f t="shared" ca="1" si="59"/>
        <v>12480.421482338417</v>
      </c>
      <c r="E743">
        <f t="shared" ca="1" si="60"/>
        <v>-30.431155318687161</v>
      </c>
    </row>
    <row r="744" spans="2:5" x14ac:dyDescent="0.2">
      <c r="B744" s="156">
        <f t="shared" si="61"/>
        <v>669</v>
      </c>
      <c r="C744">
        <f t="shared" ca="1" si="58"/>
        <v>11959.359511172232</v>
      </c>
      <c r="D744">
        <f t="shared" ca="1" si="59"/>
        <v>11599.926070324658</v>
      </c>
      <c r="E744">
        <f t="shared" ca="1" si="60"/>
        <v>359.43344084757337</v>
      </c>
    </row>
    <row r="745" spans="2:5" x14ac:dyDescent="0.2">
      <c r="B745" s="156">
        <f t="shared" si="61"/>
        <v>670</v>
      </c>
      <c r="C745">
        <f t="shared" ca="1" si="58"/>
        <v>14958.165891562665</v>
      </c>
      <c r="D745">
        <f t="shared" ca="1" si="59"/>
        <v>12826.43761494293</v>
      </c>
      <c r="E745">
        <f t="shared" ca="1" si="60"/>
        <v>2131.728276619735</v>
      </c>
    </row>
    <row r="746" spans="2:5" x14ac:dyDescent="0.2">
      <c r="B746" s="156">
        <f t="shared" si="61"/>
        <v>671</v>
      </c>
      <c r="C746">
        <f t="shared" ca="1" si="58"/>
        <v>17738.424548885389</v>
      </c>
      <c r="D746">
        <f t="shared" ca="1" si="59"/>
        <v>12537.099991473726</v>
      </c>
      <c r="E746">
        <f t="shared" ca="1" si="60"/>
        <v>5201.3245574116627</v>
      </c>
    </row>
    <row r="747" spans="2:5" x14ac:dyDescent="0.2">
      <c r="B747" s="156">
        <f t="shared" si="61"/>
        <v>672</v>
      </c>
      <c r="C747">
        <f t="shared" ca="1" si="58"/>
        <v>12978.452993762547</v>
      </c>
      <c r="D747">
        <f t="shared" ca="1" si="59"/>
        <v>12263.694893993959</v>
      </c>
      <c r="E747">
        <f t="shared" ca="1" si="60"/>
        <v>714.75809976858727</v>
      </c>
    </row>
    <row r="748" spans="2:5" x14ac:dyDescent="0.2">
      <c r="B748" s="156">
        <f t="shared" si="61"/>
        <v>673</v>
      </c>
      <c r="C748">
        <f t="shared" ca="1" si="58"/>
        <v>13405.12615906549</v>
      </c>
      <c r="D748">
        <f t="shared" ca="1" si="59"/>
        <v>10849.17571356257</v>
      </c>
      <c r="E748">
        <f t="shared" ca="1" si="60"/>
        <v>2555.95044550292</v>
      </c>
    </row>
    <row r="749" spans="2:5" x14ac:dyDescent="0.2">
      <c r="B749" s="156">
        <f t="shared" si="61"/>
        <v>674</v>
      </c>
      <c r="C749">
        <f t="shared" ca="1" si="58"/>
        <v>12529.297036807422</v>
      </c>
      <c r="D749">
        <f t="shared" ca="1" si="59"/>
        <v>10386.146619335204</v>
      </c>
      <c r="E749">
        <f t="shared" ca="1" si="60"/>
        <v>2143.1504174722177</v>
      </c>
    </row>
    <row r="750" spans="2:5" x14ac:dyDescent="0.2">
      <c r="B750" s="156">
        <f t="shared" si="61"/>
        <v>675</v>
      </c>
      <c r="C750">
        <f t="shared" ca="1" si="58"/>
        <v>14577.573244811094</v>
      </c>
      <c r="D750">
        <f t="shared" ca="1" si="59"/>
        <v>12755.413430112754</v>
      </c>
      <c r="E750">
        <f t="shared" ca="1" si="60"/>
        <v>1822.1598146983397</v>
      </c>
    </row>
    <row r="751" spans="2:5" x14ac:dyDescent="0.2">
      <c r="B751" s="156">
        <f t="shared" si="61"/>
        <v>676</v>
      </c>
      <c r="C751">
        <f t="shared" ca="1" si="58"/>
        <v>14380.732405395738</v>
      </c>
      <c r="D751">
        <f t="shared" ca="1" si="59"/>
        <v>10634.266646805991</v>
      </c>
      <c r="E751">
        <f t="shared" ca="1" si="60"/>
        <v>3746.4657585897476</v>
      </c>
    </row>
    <row r="752" spans="2:5" x14ac:dyDescent="0.2">
      <c r="B752" s="156">
        <f t="shared" si="61"/>
        <v>677</v>
      </c>
      <c r="C752">
        <f t="shared" ca="1" si="58"/>
        <v>15135.010674729447</v>
      </c>
      <c r="D752">
        <f t="shared" ca="1" si="59"/>
        <v>12220.734218831181</v>
      </c>
      <c r="E752">
        <f t="shared" ca="1" si="60"/>
        <v>2914.2764558982653</v>
      </c>
    </row>
    <row r="753" spans="2:5" x14ac:dyDescent="0.2">
      <c r="B753" s="156">
        <f t="shared" si="61"/>
        <v>678</v>
      </c>
      <c r="C753">
        <f t="shared" ca="1" si="58"/>
        <v>12808.371548128327</v>
      </c>
      <c r="D753">
        <f t="shared" ca="1" si="59"/>
        <v>11039.759705750444</v>
      </c>
      <c r="E753">
        <f t="shared" ca="1" si="60"/>
        <v>1768.6118423778826</v>
      </c>
    </row>
    <row r="754" spans="2:5" x14ac:dyDescent="0.2">
      <c r="B754" s="156">
        <f t="shared" si="61"/>
        <v>679</v>
      </c>
      <c r="C754">
        <f t="shared" ca="1" si="58"/>
        <v>14014.727928588773</v>
      </c>
      <c r="D754">
        <f t="shared" ca="1" si="59"/>
        <v>11856.848598214179</v>
      </c>
      <c r="E754">
        <f t="shared" ca="1" si="60"/>
        <v>2157.8793303745933</v>
      </c>
    </row>
    <row r="755" spans="2:5" x14ac:dyDescent="0.2">
      <c r="B755" s="156">
        <f t="shared" si="61"/>
        <v>680</v>
      </c>
      <c r="C755">
        <f t="shared" ca="1" si="58"/>
        <v>13255.049282347905</v>
      </c>
      <c r="D755">
        <f t="shared" ca="1" si="59"/>
        <v>11457.647796453843</v>
      </c>
      <c r="E755">
        <f t="shared" ca="1" si="60"/>
        <v>1797.4014858940627</v>
      </c>
    </row>
    <row r="756" spans="2:5" x14ac:dyDescent="0.2">
      <c r="B756" s="156">
        <f t="shared" si="61"/>
        <v>681</v>
      </c>
      <c r="C756">
        <f t="shared" ca="1" si="58"/>
        <v>13857.251449407409</v>
      </c>
      <c r="D756">
        <f t="shared" ca="1" si="59"/>
        <v>14060.04133487193</v>
      </c>
      <c r="E756">
        <f t="shared" ca="1" si="60"/>
        <v>-202.78988546452092</v>
      </c>
    </row>
    <row r="757" spans="2:5" x14ac:dyDescent="0.2">
      <c r="B757" s="156">
        <f t="shared" si="61"/>
        <v>682</v>
      </c>
      <c r="C757">
        <f t="shared" ca="1" si="58"/>
        <v>14619.590020658958</v>
      </c>
      <c r="D757">
        <f t="shared" ca="1" si="59"/>
        <v>12276.441381866283</v>
      </c>
      <c r="E757">
        <f t="shared" ca="1" si="60"/>
        <v>2343.1486387926743</v>
      </c>
    </row>
    <row r="758" spans="2:5" x14ac:dyDescent="0.2">
      <c r="B758" s="156">
        <f t="shared" si="61"/>
        <v>683</v>
      </c>
      <c r="C758">
        <f t="shared" ca="1" si="58"/>
        <v>13972.60857385662</v>
      </c>
      <c r="D758">
        <f t="shared" ca="1" si="59"/>
        <v>11507.17149969327</v>
      </c>
      <c r="E758">
        <f t="shared" ca="1" si="60"/>
        <v>2465.4370741633502</v>
      </c>
    </row>
    <row r="759" spans="2:5" x14ac:dyDescent="0.2">
      <c r="B759" s="156">
        <f t="shared" si="61"/>
        <v>684</v>
      </c>
      <c r="C759">
        <f t="shared" ca="1" si="58"/>
        <v>15149.687766662328</v>
      </c>
      <c r="D759">
        <f t="shared" ca="1" si="59"/>
        <v>13815.96844255153</v>
      </c>
      <c r="E759">
        <f t="shared" ca="1" si="60"/>
        <v>1333.719324110798</v>
      </c>
    </row>
    <row r="760" spans="2:5" x14ac:dyDescent="0.2">
      <c r="B760" s="156">
        <f t="shared" si="61"/>
        <v>685</v>
      </c>
      <c r="C760">
        <f t="shared" ca="1" si="58"/>
        <v>13744.463374353752</v>
      </c>
      <c r="D760">
        <f t="shared" ca="1" si="59"/>
        <v>12061.296935124985</v>
      </c>
      <c r="E760">
        <f t="shared" ca="1" si="60"/>
        <v>1683.1664392287676</v>
      </c>
    </row>
    <row r="761" spans="2:5" x14ac:dyDescent="0.2">
      <c r="B761" s="156">
        <f t="shared" si="61"/>
        <v>686</v>
      </c>
      <c r="C761">
        <f t="shared" ca="1" si="58"/>
        <v>14888.44786695871</v>
      </c>
      <c r="D761">
        <f t="shared" ca="1" si="59"/>
        <v>11143.673568516819</v>
      </c>
      <c r="E761">
        <f t="shared" ca="1" si="60"/>
        <v>3744.774298441891</v>
      </c>
    </row>
    <row r="762" spans="2:5" x14ac:dyDescent="0.2">
      <c r="B762" s="156">
        <f t="shared" si="61"/>
        <v>687</v>
      </c>
      <c r="C762">
        <f t="shared" ca="1" si="58"/>
        <v>16506.395779655806</v>
      </c>
      <c r="D762">
        <f t="shared" ca="1" si="59"/>
        <v>11132.903326322721</v>
      </c>
      <c r="E762">
        <f t="shared" ca="1" si="60"/>
        <v>5373.492453333085</v>
      </c>
    </row>
    <row r="763" spans="2:5" x14ac:dyDescent="0.2">
      <c r="B763" s="156">
        <f t="shared" si="61"/>
        <v>688</v>
      </c>
      <c r="C763">
        <f t="shared" ca="1" si="58"/>
        <v>14235.443750915325</v>
      </c>
      <c r="D763">
        <f t="shared" ca="1" si="59"/>
        <v>13119.978291054533</v>
      </c>
      <c r="E763">
        <f t="shared" ca="1" si="60"/>
        <v>1115.4654598607922</v>
      </c>
    </row>
    <row r="764" spans="2:5" x14ac:dyDescent="0.2">
      <c r="B764" s="156">
        <f t="shared" si="61"/>
        <v>689</v>
      </c>
      <c r="C764">
        <f t="shared" ca="1" si="58"/>
        <v>16059.839709681781</v>
      </c>
      <c r="D764">
        <f t="shared" ca="1" si="59"/>
        <v>11524.802484515156</v>
      </c>
      <c r="E764">
        <f t="shared" ca="1" si="60"/>
        <v>4535.0372251666249</v>
      </c>
    </row>
    <row r="765" spans="2:5" x14ac:dyDescent="0.2">
      <c r="B765" s="156">
        <f t="shared" si="61"/>
        <v>690</v>
      </c>
      <c r="C765">
        <f t="shared" ca="1" si="58"/>
        <v>13680.618667279727</v>
      </c>
      <c r="D765">
        <f t="shared" ca="1" si="59"/>
        <v>14399.394082179058</v>
      </c>
      <c r="E765">
        <f t="shared" ca="1" si="60"/>
        <v>-718.77541489933174</v>
      </c>
    </row>
    <row r="766" spans="2:5" x14ac:dyDescent="0.2">
      <c r="B766" s="156">
        <f t="shared" si="61"/>
        <v>691</v>
      </c>
      <c r="C766">
        <f t="shared" ca="1" si="58"/>
        <v>14865.301591581145</v>
      </c>
      <c r="D766">
        <f t="shared" ca="1" si="59"/>
        <v>13500.404865613473</v>
      </c>
      <c r="E766">
        <f t="shared" ca="1" si="60"/>
        <v>1364.896725967672</v>
      </c>
    </row>
    <row r="767" spans="2:5" x14ac:dyDescent="0.2">
      <c r="B767" s="156">
        <f t="shared" si="61"/>
        <v>692</v>
      </c>
      <c r="C767">
        <f t="shared" ca="1" si="58"/>
        <v>13608.993353753616</v>
      </c>
      <c r="D767">
        <f t="shared" ca="1" si="59"/>
        <v>10532.862327929455</v>
      </c>
      <c r="E767">
        <f t="shared" ca="1" si="60"/>
        <v>3076.131025824161</v>
      </c>
    </row>
    <row r="768" spans="2:5" x14ac:dyDescent="0.2">
      <c r="B768" s="156">
        <f t="shared" si="61"/>
        <v>693</v>
      </c>
      <c r="C768">
        <f t="shared" ca="1" si="58"/>
        <v>13708.583669508893</v>
      </c>
      <c r="D768">
        <f t="shared" ca="1" si="59"/>
        <v>13388.903260862751</v>
      </c>
      <c r="E768">
        <f t="shared" ca="1" si="60"/>
        <v>319.68040864614159</v>
      </c>
    </row>
    <row r="769" spans="2:5" x14ac:dyDescent="0.2">
      <c r="B769" s="156">
        <f t="shared" si="61"/>
        <v>694</v>
      </c>
      <c r="C769">
        <f t="shared" ca="1" si="58"/>
        <v>13699.920416791443</v>
      </c>
      <c r="D769">
        <f t="shared" ca="1" si="59"/>
        <v>12935.623187270492</v>
      </c>
      <c r="E769">
        <f t="shared" ca="1" si="60"/>
        <v>764.29722952095108</v>
      </c>
    </row>
    <row r="770" spans="2:5" x14ac:dyDescent="0.2">
      <c r="B770" s="156">
        <f t="shared" si="61"/>
        <v>695</v>
      </c>
      <c r="C770">
        <f t="shared" ca="1" si="58"/>
        <v>14590.728086020597</v>
      </c>
      <c r="D770">
        <f t="shared" ca="1" si="59"/>
        <v>10453.915200604357</v>
      </c>
      <c r="E770">
        <f t="shared" ca="1" si="60"/>
        <v>4136.8128854162405</v>
      </c>
    </row>
    <row r="771" spans="2:5" x14ac:dyDescent="0.2">
      <c r="B771" s="156">
        <f t="shared" si="61"/>
        <v>696</v>
      </c>
      <c r="C771">
        <f t="shared" ca="1" si="58"/>
        <v>15017.80039172991</v>
      </c>
      <c r="D771">
        <f t="shared" ca="1" si="59"/>
        <v>9897.455131750814</v>
      </c>
      <c r="E771">
        <f t="shared" ca="1" si="60"/>
        <v>5120.3452599790962</v>
      </c>
    </row>
    <row r="772" spans="2:5" x14ac:dyDescent="0.2">
      <c r="B772" s="156">
        <f t="shared" si="61"/>
        <v>697</v>
      </c>
      <c r="C772">
        <f t="shared" ca="1" si="58"/>
        <v>16952.618788500942</v>
      </c>
      <c r="D772">
        <f t="shared" ca="1" si="59"/>
        <v>14046.0750268021</v>
      </c>
      <c r="E772">
        <f t="shared" ca="1" si="60"/>
        <v>2906.543761698842</v>
      </c>
    </row>
    <row r="773" spans="2:5" x14ac:dyDescent="0.2">
      <c r="B773" s="156">
        <f t="shared" si="61"/>
        <v>698</v>
      </c>
      <c r="C773">
        <f t="shared" ca="1" si="58"/>
        <v>14652.480805811771</v>
      </c>
      <c r="D773">
        <f t="shared" ca="1" si="59"/>
        <v>11377.368496220979</v>
      </c>
      <c r="E773">
        <f t="shared" ca="1" si="60"/>
        <v>3275.1123095907915</v>
      </c>
    </row>
    <row r="774" spans="2:5" x14ac:dyDescent="0.2">
      <c r="B774" s="156">
        <f t="shared" si="61"/>
        <v>699</v>
      </c>
      <c r="C774">
        <f t="shared" ca="1" si="58"/>
        <v>13446.915668834785</v>
      </c>
      <c r="D774">
        <f t="shared" ca="1" si="59"/>
        <v>11392.903161227217</v>
      </c>
      <c r="E774">
        <f t="shared" ca="1" si="60"/>
        <v>2054.0125076075674</v>
      </c>
    </row>
    <row r="775" spans="2:5" x14ac:dyDescent="0.2">
      <c r="B775" s="156">
        <f t="shared" si="61"/>
        <v>700</v>
      </c>
      <c r="C775">
        <f t="shared" ca="1" si="58"/>
        <v>14858.424518801117</v>
      </c>
      <c r="D775">
        <f t="shared" ca="1" si="59"/>
        <v>12019.474070286222</v>
      </c>
      <c r="E775">
        <f t="shared" ca="1" si="60"/>
        <v>2838.9504485148955</v>
      </c>
    </row>
    <row r="776" spans="2:5" x14ac:dyDescent="0.2">
      <c r="B776" s="156">
        <f t="shared" si="61"/>
        <v>701</v>
      </c>
      <c r="C776">
        <f t="shared" ca="1" si="58"/>
        <v>18587.794011710739</v>
      </c>
      <c r="D776">
        <f t="shared" ca="1" si="59"/>
        <v>12307.023599409114</v>
      </c>
      <c r="E776">
        <f t="shared" ca="1" si="60"/>
        <v>6280.7704123016247</v>
      </c>
    </row>
    <row r="777" spans="2:5" x14ac:dyDescent="0.2">
      <c r="B777" s="156">
        <f t="shared" si="61"/>
        <v>702</v>
      </c>
      <c r="C777">
        <f t="shared" ca="1" si="58"/>
        <v>15686.026365975471</v>
      </c>
      <c r="D777">
        <f t="shared" ca="1" si="59"/>
        <v>10269.17355611608</v>
      </c>
      <c r="E777">
        <f t="shared" ca="1" si="60"/>
        <v>5416.8528098593906</v>
      </c>
    </row>
    <row r="778" spans="2:5" x14ac:dyDescent="0.2">
      <c r="B778" s="156">
        <f t="shared" si="61"/>
        <v>703</v>
      </c>
      <c r="C778">
        <f t="shared" ca="1" si="58"/>
        <v>15485.02505303243</v>
      </c>
      <c r="D778">
        <f t="shared" ca="1" si="59"/>
        <v>12006.203155520421</v>
      </c>
      <c r="E778">
        <f t="shared" ca="1" si="60"/>
        <v>3478.8218975120089</v>
      </c>
    </row>
    <row r="779" spans="2:5" x14ac:dyDescent="0.2">
      <c r="B779" s="156">
        <f t="shared" si="61"/>
        <v>704</v>
      </c>
      <c r="C779">
        <f t="shared" ca="1" si="58"/>
        <v>14047.130294620303</v>
      </c>
      <c r="D779">
        <f t="shared" ca="1" si="59"/>
        <v>11966.395197046495</v>
      </c>
      <c r="E779">
        <f t="shared" ca="1" si="60"/>
        <v>2080.7350975738082</v>
      </c>
    </row>
    <row r="780" spans="2:5" x14ac:dyDescent="0.2">
      <c r="B780" s="156">
        <f t="shared" si="61"/>
        <v>705</v>
      </c>
      <c r="C780">
        <f t="shared" ca="1" si="58"/>
        <v>16233.468670044462</v>
      </c>
      <c r="D780">
        <f t="shared" ca="1" si="59"/>
        <v>10506.662062180958</v>
      </c>
      <c r="E780">
        <f t="shared" ca="1" si="60"/>
        <v>5726.8066078635038</v>
      </c>
    </row>
    <row r="781" spans="2:5" x14ac:dyDescent="0.2">
      <c r="B781" s="156">
        <f t="shared" si="61"/>
        <v>706</v>
      </c>
      <c r="C781">
        <f t="shared" ref="C781:C844" ca="1" si="62">$C$70*(1+_xlfn.NORM.S.INV(RAND())*$C$72)</f>
        <v>15642.882946467907</v>
      </c>
      <c r="D781">
        <f t="shared" ref="D781:D844" ca="1" si="63">$C$71*(1+_xlfn.NORM.S.INV(RAND())*$C$73)</f>
        <v>13335.284649083667</v>
      </c>
      <c r="E781">
        <f t="shared" ref="E781:E844" ca="1" si="64">C781-D781</f>
        <v>2307.5982973842401</v>
      </c>
    </row>
    <row r="782" spans="2:5" x14ac:dyDescent="0.2">
      <c r="B782" s="156">
        <f t="shared" ref="B782:B845" si="65">B781+1</f>
        <v>707</v>
      </c>
      <c r="C782">
        <f t="shared" ca="1" si="62"/>
        <v>14131.306421480844</v>
      </c>
      <c r="D782">
        <f t="shared" ca="1" si="63"/>
        <v>12165.206587556428</v>
      </c>
      <c r="E782">
        <f t="shared" ca="1" si="64"/>
        <v>1966.0998339244161</v>
      </c>
    </row>
    <row r="783" spans="2:5" x14ac:dyDescent="0.2">
      <c r="B783" s="156">
        <f t="shared" si="65"/>
        <v>708</v>
      </c>
      <c r="C783">
        <f t="shared" ca="1" si="62"/>
        <v>12859.667691486768</v>
      </c>
      <c r="D783">
        <f t="shared" ca="1" si="63"/>
        <v>15083.702030823521</v>
      </c>
      <c r="E783">
        <f t="shared" ca="1" si="64"/>
        <v>-2224.034339336753</v>
      </c>
    </row>
    <row r="784" spans="2:5" x14ac:dyDescent="0.2">
      <c r="B784" s="156">
        <f t="shared" si="65"/>
        <v>709</v>
      </c>
      <c r="C784">
        <f t="shared" ca="1" si="62"/>
        <v>15365.707330255063</v>
      </c>
      <c r="D784">
        <f t="shared" ca="1" si="63"/>
        <v>12378.666732940826</v>
      </c>
      <c r="E784">
        <f t="shared" ca="1" si="64"/>
        <v>2987.0405973142369</v>
      </c>
    </row>
    <row r="785" spans="2:5" x14ac:dyDescent="0.2">
      <c r="B785" s="156">
        <f t="shared" si="65"/>
        <v>710</v>
      </c>
      <c r="C785">
        <f t="shared" ca="1" si="62"/>
        <v>15387.458307983019</v>
      </c>
      <c r="D785">
        <f t="shared" ca="1" si="63"/>
        <v>12820.337880064286</v>
      </c>
      <c r="E785">
        <f t="shared" ca="1" si="64"/>
        <v>2567.1204279187332</v>
      </c>
    </row>
    <row r="786" spans="2:5" x14ac:dyDescent="0.2">
      <c r="B786" s="156">
        <f t="shared" si="65"/>
        <v>711</v>
      </c>
      <c r="C786">
        <f t="shared" ca="1" si="62"/>
        <v>13745.574711784626</v>
      </c>
      <c r="D786">
        <f t="shared" ca="1" si="63"/>
        <v>10951.298493020193</v>
      </c>
      <c r="E786">
        <f t="shared" ca="1" si="64"/>
        <v>2794.276218764433</v>
      </c>
    </row>
    <row r="787" spans="2:5" x14ac:dyDescent="0.2">
      <c r="B787" s="156">
        <f t="shared" si="65"/>
        <v>712</v>
      </c>
      <c r="C787">
        <f t="shared" ca="1" si="62"/>
        <v>13562.650425525018</v>
      </c>
      <c r="D787">
        <f t="shared" ca="1" si="63"/>
        <v>11683.895003304597</v>
      </c>
      <c r="E787">
        <f t="shared" ca="1" si="64"/>
        <v>1878.7554222204217</v>
      </c>
    </row>
    <row r="788" spans="2:5" x14ac:dyDescent="0.2">
      <c r="B788" s="156">
        <f t="shared" si="65"/>
        <v>713</v>
      </c>
      <c r="C788">
        <f t="shared" ca="1" si="62"/>
        <v>15436.376647182155</v>
      </c>
      <c r="D788">
        <f t="shared" ca="1" si="63"/>
        <v>12257.238142252394</v>
      </c>
      <c r="E788">
        <f t="shared" ca="1" si="64"/>
        <v>3179.1385049297605</v>
      </c>
    </row>
    <row r="789" spans="2:5" x14ac:dyDescent="0.2">
      <c r="B789" s="156">
        <f t="shared" si="65"/>
        <v>714</v>
      </c>
      <c r="C789">
        <f t="shared" ca="1" si="62"/>
        <v>15340.14664311428</v>
      </c>
      <c r="D789">
        <f t="shared" ca="1" si="63"/>
        <v>10630.277948086483</v>
      </c>
      <c r="E789">
        <f t="shared" ca="1" si="64"/>
        <v>4709.868695027797</v>
      </c>
    </row>
    <row r="790" spans="2:5" x14ac:dyDescent="0.2">
      <c r="B790" s="156">
        <f t="shared" si="65"/>
        <v>715</v>
      </c>
      <c r="C790">
        <f t="shared" ca="1" si="62"/>
        <v>14016.766068639203</v>
      </c>
      <c r="D790">
        <f t="shared" ca="1" si="63"/>
        <v>12031.288186698024</v>
      </c>
      <c r="E790">
        <f t="shared" ca="1" si="64"/>
        <v>1985.4778819411786</v>
      </c>
    </row>
    <row r="791" spans="2:5" x14ac:dyDescent="0.2">
      <c r="B791" s="156">
        <f t="shared" si="65"/>
        <v>716</v>
      </c>
      <c r="C791">
        <f t="shared" ca="1" si="62"/>
        <v>15398.842801178112</v>
      </c>
      <c r="D791">
        <f t="shared" ca="1" si="63"/>
        <v>11659.041098776326</v>
      </c>
      <c r="E791">
        <f t="shared" ca="1" si="64"/>
        <v>3739.8017024017863</v>
      </c>
    </row>
    <row r="792" spans="2:5" x14ac:dyDescent="0.2">
      <c r="B792" s="156">
        <f t="shared" si="65"/>
        <v>717</v>
      </c>
      <c r="C792">
        <f t="shared" ca="1" si="62"/>
        <v>12923.994137589109</v>
      </c>
      <c r="D792">
        <f t="shared" ca="1" si="63"/>
        <v>10834.883456718781</v>
      </c>
      <c r="E792">
        <f t="shared" ca="1" si="64"/>
        <v>2089.110680870328</v>
      </c>
    </row>
    <row r="793" spans="2:5" x14ac:dyDescent="0.2">
      <c r="B793" s="156">
        <f t="shared" si="65"/>
        <v>718</v>
      </c>
      <c r="C793">
        <f t="shared" ca="1" si="62"/>
        <v>14313.942505557718</v>
      </c>
      <c r="D793">
        <f t="shared" ca="1" si="63"/>
        <v>12643.729257158058</v>
      </c>
      <c r="E793">
        <f t="shared" ca="1" si="64"/>
        <v>1670.2132483996593</v>
      </c>
    </row>
    <row r="794" spans="2:5" x14ac:dyDescent="0.2">
      <c r="B794" s="156">
        <f t="shared" si="65"/>
        <v>719</v>
      </c>
      <c r="C794">
        <f t="shared" ca="1" si="62"/>
        <v>10264.729944570065</v>
      </c>
      <c r="D794">
        <f t="shared" ca="1" si="63"/>
        <v>12927.117428854097</v>
      </c>
      <c r="E794">
        <f t="shared" ca="1" si="64"/>
        <v>-2662.3874842840323</v>
      </c>
    </row>
    <row r="795" spans="2:5" x14ac:dyDescent="0.2">
      <c r="B795" s="156">
        <f t="shared" si="65"/>
        <v>720</v>
      </c>
      <c r="C795">
        <f t="shared" ca="1" si="62"/>
        <v>16653.921805631246</v>
      </c>
      <c r="D795">
        <f t="shared" ca="1" si="63"/>
        <v>12827.662734560519</v>
      </c>
      <c r="E795">
        <f t="shared" ca="1" si="64"/>
        <v>3826.2590710707263</v>
      </c>
    </row>
    <row r="796" spans="2:5" x14ac:dyDescent="0.2">
      <c r="B796" s="156">
        <f t="shared" si="65"/>
        <v>721</v>
      </c>
      <c r="C796">
        <f t="shared" ca="1" si="62"/>
        <v>13992.848865607901</v>
      </c>
      <c r="D796">
        <f t="shared" ca="1" si="63"/>
        <v>12162.997369688876</v>
      </c>
      <c r="E796">
        <f t="shared" ca="1" si="64"/>
        <v>1829.8514959190252</v>
      </c>
    </row>
    <row r="797" spans="2:5" x14ac:dyDescent="0.2">
      <c r="B797" s="156">
        <f t="shared" si="65"/>
        <v>722</v>
      </c>
      <c r="C797">
        <f t="shared" ca="1" si="62"/>
        <v>13768.621601014273</v>
      </c>
      <c r="D797">
        <f t="shared" ca="1" si="63"/>
        <v>14306.668295097805</v>
      </c>
      <c r="E797">
        <f t="shared" ca="1" si="64"/>
        <v>-538.0466940835322</v>
      </c>
    </row>
    <row r="798" spans="2:5" x14ac:dyDescent="0.2">
      <c r="B798" s="156">
        <f t="shared" si="65"/>
        <v>723</v>
      </c>
      <c r="C798">
        <f t="shared" ca="1" si="62"/>
        <v>15189.004092060361</v>
      </c>
      <c r="D798">
        <f t="shared" ca="1" si="63"/>
        <v>10523.330529339742</v>
      </c>
      <c r="E798">
        <f t="shared" ca="1" si="64"/>
        <v>4665.6735627206181</v>
      </c>
    </row>
    <row r="799" spans="2:5" x14ac:dyDescent="0.2">
      <c r="B799" s="156">
        <f t="shared" si="65"/>
        <v>724</v>
      </c>
      <c r="C799">
        <f t="shared" ca="1" si="62"/>
        <v>17412.221666368237</v>
      </c>
      <c r="D799">
        <f t="shared" ca="1" si="63"/>
        <v>10504.231944856108</v>
      </c>
      <c r="E799">
        <f t="shared" ca="1" si="64"/>
        <v>6907.9897215121291</v>
      </c>
    </row>
    <row r="800" spans="2:5" x14ac:dyDescent="0.2">
      <c r="B800" s="156">
        <f t="shared" si="65"/>
        <v>725</v>
      </c>
      <c r="C800">
        <f t="shared" ca="1" si="62"/>
        <v>14736.498205193246</v>
      </c>
      <c r="D800">
        <f t="shared" ca="1" si="63"/>
        <v>11564.151468329124</v>
      </c>
      <c r="E800">
        <f t="shared" ca="1" si="64"/>
        <v>3172.3467368641213</v>
      </c>
    </row>
    <row r="801" spans="2:5" x14ac:dyDescent="0.2">
      <c r="B801" s="156">
        <f t="shared" si="65"/>
        <v>726</v>
      </c>
      <c r="C801">
        <f t="shared" ca="1" si="62"/>
        <v>12348.93600102199</v>
      </c>
      <c r="D801">
        <f t="shared" ca="1" si="63"/>
        <v>11419.038372112384</v>
      </c>
      <c r="E801">
        <f t="shared" ca="1" si="64"/>
        <v>929.89762890960628</v>
      </c>
    </row>
    <row r="802" spans="2:5" x14ac:dyDescent="0.2">
      <c r="B802" s="156">
        <f t="shared" si="65"/>
        <v>727</v>
      </c>
      <c r="C802">
        <f t="shared" ca="1" si="62"/>
        <v>14419.192990214351</v>
      </c>
      <c r="D802">
        <f t="shared" ca="1" si="63"/>
        <v>12670.255254489068</v>
      </c>
      <c r="E802">
        <f t="shared" ca="1" si="64"/>
        <v>1748.9377357252833</v>
      </c>
    </row>
    <row r="803" spans="2:5" x14ac:dyDescent="0.2">
      <c r="B803" s="156">
        <f t="shared" si="65"/>
        <v>728</v>
      </c>
      <c r="C803">
        <f t="shared" ca="1" si="62"/>
        <v>13845.311518454751</v>
      </c>
      <c r="D803">
        <f t="shared" ca="1" si="63"/>
        <v>11629.254149422211</v>
      </c>
      <c r="E803">
        <f t="shared" ca="1" si="64"/>
        <v>2216.05736903254</v>
      </c>
    </row>
    <row r="804" spans="2:5" x14ac:dyDescent="0.2">
      <c r="B804" s="156">
        <f t="shared" si="65"/>
        <v>729</v>
      </c>
      <c r="C804">
        <f t="shared" ca="1" si="62"/>
        <v>16907.08941015754</v>
      </c>
      <c r="D804">
        <f t="shared" ca="1" si="63"/>
        <v>11912.389653233482</v>
      </c>
      <c r="E804">
        <f t="shared" ca="1" si="64"/>
        <v>4994.6997569240575</v>
      </c>
    </row>
    <row r="805" spans="2:5" x14ac:dyDescent="0.2">
      <c r="B805" s="156">
        <f t="shared" si="65"/>
        <v>730</v>
      </c>
      <c r="C805">
        <f t="shared" ca="1" si="62"/>
        <v>14111.529402195261</v>
      </c>
      <c r="D805">
        <f t="shared" ca="1" si="63"/>
        <v>11213.323527836463</v>
      </c>
      <c r="E805">
        <f t="shared" ca="1" si="64"/>
        <v>2898.2058743587986</v>
      </c>
    </row>
    <row r="806" spans="2:5" x14ac:dyDescent="0.2">
      <c r="B806" s="156">
        <f t="shared" si="65"/>
        <v>731</v>
      </c>
      <c r="C806">
        <f t="shared" ca="1" si="62"/>
        <v>14219.621866436051</v>
      </c>
      <c r="D806">
        <f t="shared" ca="1" si="63"/>
        <v>8597.2671561319676</v>
      </c>
      <c r="E806">
        <f t="shared" ca="1" si="64"/>
        <v>5622.3547103040837</v>
      </c>
    </row>
    <row r="807" spans="2:5" x14ac:dyDescent="0.2">
      <c r="B807" s="156">
        <f t="shared" si="65"/>
        <v>732</v>
      </c>
      <c r="C807">
        <f t="shared" ca="1" si="62"/>
        <v>16888.484765179579</v>
      </c>
      <c r="D807">
        <f t="shared" ca="1" si="63"/>
        <v>13672.809759331134</v>
      </c>
      <c r="E807">
        <f t="shared" ca="1" si="64"/>
        <v>3215.6750058484449</v>
      </c>
    </row>
    <row r="808" spans="2:5" x14ac:dyDescent="0.2">
      <c r="B808" s="156">
        <f t="shared" si="65"/>
        <v>733</v>
      </c>
      <c r="C808">
        <f t="shared" ca="1" si="62"/>
        <v>15431.74046202617</v>
      </c>
      <c r="D808">
        <f t="shared" ca="1" si="63"/>
        <v>12329.515193798541</v>
      </c>
      <c r="E808">
        <f t="shared" ca="1" si="64"/>
        <v>3102.2252682276285</v>
      </c>
    </row>
    <row r="809" spans="2:5" x14ac:dyDescent="0.2">
      <c r="B809" s="156">
        <f t="shared" si="65"/>
        <v>734</v>
      </c>
      <c r="C809">
        <f t="shared" ca="1" si="62"/>
        <v>16302.877604416029</v>
      </c>
      <c r="D809">
        <f t="shared" ca="1" si="63"/>
        <v>11672.510011703953</v>
      </c>
      <c r="E809">
        <f t="shared" ca="1" si="64"/>
        <v>4630.3675927120767</v>
      </c>
    </row>
    <row r="810" spans="2:5" x14ac:dyDescent="0.2">
      <c r="B810" s="156">
        <f t="shared" si="65"/>
        <v>735</v>
      </c>
      <c r="C810">
        <f t="shared" ca="1" si="62"/>
        <v>13198.549297094676</v>
      </c>
      <c r="D810">
        <f t="shared" ca="1" si="63"/>
        <v>10283.78777760187</v>
      </c>
      <c r="E810">
        <f t="shared" ca="1" si="64"/>
        <v>2914.7615194928057</v>
      </c>
    </row>
    <row r="811" spans="2:5" x14ac:dyDescent="0.2">
      <c r="B811" s="156">
        <f t="shared" si="65"/>
        <v>736</v>
      </c>
      <c r="C811">
        <f t="shared" ca="1" si="62"/>
        <v>12659.066200105308</v>
      </c>
      <c r="D811">
        <f t="shared" ca="1" si="63"/>
        <v>11024.735493898455</v>
      </c>
      <c r="E811">
        <f t="shared" ca="1" si="64"/>
        <v>1634.3307062068525</v>
      </c>
    </row>
    <row r="812" spans="2:5" x14ac:dyDescent="0.2">
      <c r="B812" s="156">
        <f t="shared" si="65"/>
        <v>737</v>
      </c>
      <c r="C812">
        <f t="shared" ca="1" si="62"/>
        <v>15626.906582305715</v>
      </c>
      <c r="D812">
        <f t="shared" ca="1" si="63"/>
        <v>13480.966510578006</v>
      </c>
      <c r="E812">
        <f t="shared" ca="1" si="64"/>
        <v>2145.9400717277094</v>
      </c>
    </row>
    <row r="813" spans="2:5" x14ac:dyDescent="0.2">
      <c r="B813" s="156">
        <f t="shared" si="65"/>
        <v>738</v>
      </c>
      <c r="C813">
        <f t="shared" ca="1" si="62"/>
        <v>15155.475227216928</v>
      </c>
      <c r="D813">
        <f t="shared" ca="1" si="63"/>
        <v>11540.321772631602</v>
      </c>
      <c r="E813">
        <f t="shared" ca="1" si="64"/>
        <v>3615.1534545853265</v>
      </c>
    </row>
    <row r="814" spans="2:5" x14ac:dyDescent="0.2">
      <c r="B814" s="156">
        <f t="shared" si="65"/>
        <v>739</v>
      </c>
      <c r="C814">
        <f t="shared" ca="1" si="62"/>
        <v>13934.392124676904</v>
      </c>
      <c r="D814">
        <f t="shared" ca="1" si="63"/>
        <v>9591.2624203732794</v>
      </c>
      <c r="E814">
        <f t="shared" ca="1" si="64"/>
        <v>4343.1297043036247</v>
      </c>
    </row>
    <row r="815" spans="2:5" x14ac:dyDescent="0.2">
      <c r="B815" s="156">
        <f t="shared" si="65"/>
        <v>740</v>
      </c>
      <c r="C815">
        <f t="shared" ca="1" si="62"/>
        <v>17404.874914380009</v>
      </c>
      <c r="D815">
        <f t="shared" ca="1" si="63"/>
        <v>13909.271356055275</v>
      </c>
      <c r="E815">
        <f t="shared" ca="1" si="64"/>
        <v>3495.603558324734</v>
      </c>
    </row>
    <row r="816" spans="2:5" x14ac:dyDescent="0.2">
      <c r="B816" s="156">
        <f t="shared" si="65"/>
        <v>741</v>
      </c>
      <c r="C816">
        <f t="shared" ca="1" si="62"/>
        <v>14789.83342231049</v>
      </c>
      <c r="D816">
        <f t="shared" ca="1" si="63"/>
        <v>15375.404411291971</v>
      </c>
      <c r="E816">
        <f t="shared" ca="1" si="64"/>
        <v>-585.5709889814807</v>
      </c>
    </row>
    <row r="817" spans="2:5" x14ac:dyDescent="0.2">
      <c r="B817" s="156">
        <f t="shared" si="65"/>
        <v>742</v>
      </c>
      <c r="C817">
        <f t="shared" ca="1" si="62"/>
        <v>14724.311662596743</v>
      </c>
      <c r="D817">
        <f t="shared" ca="1" si="63"/>
        <v>12966.445351985329</v>
      </c>
      <c r="E817">
        <f t="shared" ca="1" si="64"/>
        <v>1757.8663106114145</v>
      </c>
    </row>
    <row r="818" spans="2:5" x14ac:dyDescent="0.2">
      <c r="B818" s="156">
        <f t="shared" si="65"/>
        <v>743</v>
      </c>
      <c r="C818">
        <f t="shared" ca="1" si="62"/>
        <v>16869.301365866406</v>
      </c>
      <c r="D818">
        <f t="shared" ca="1" si="63"/>
        <v>12549.135890005891</v>
      </c>
      <c r="E818">
        <f t="shared" ca="1" si="64"/>
        <v>4320.1654758605146</v>
      </c>
    </row>
    <row r="819" spans="2:5" x14ac:dyDescent="0.2">
      <c r="B819" s="156">
        <f t="shared" si="65"/>
        <v>744</v>
      </c>
      <c r="C819">
        <f t="shared" ca="1" si="62"/>
        <v>14334.708075253586</v>
      </c>
      <c r="D819">
        <f t="shared" ca="1" si="63"/>
        <v>13055.633366257378</v>
      </c>
      <c r="E819">
        <f t="shared" ca="1" si="64"/>
        <v>1279.0747089962078</v>
      </c>
    </row>
    <row r="820" spans="2:5" x14ac:dyDescent="0.2">
      <c r="B820" s="156">
        <f t="shared" si="65"/>
        <v>745</v>
      </c>
      <c r="C820">
        <f t="shared" ca="1" si="62"/>
        <v>16315.809336198779</v>
      </c>
      <c r="D820">
        <f t="shared" ca="1" si="63"/>
        <v>13196.503006000295</v>
      </c>
      <c r="E820">
        <f t="shared" ca="1" si="64"/>
        <v>3119.3063301984839</v>
      </c>
    </row>
    <row r="821" spans="2:5" x14ac:dyDescent="0.2">
      <c r="B821" s="156">
        <f t="shared" si="65"/>
        <v>746</v>
      </c>
      <c r="C821">
        <f t="shared" ca="1" si="62"/>
        <v>13839.916598782051</v>
      </c>
      <c r="D821">
        <f t="shared" ca="1" si="63"/>
        <v>11193.65490784282</v>
      </c>
      <c r="E821">
        <f t="shared" ca="1" si="64"/>
        <v>2646.2616909392309</v>
      </c>
    </row>
    <row r="822" spans="2:5" x14ac:dyDescent="0.2">
      <c r="B822" s="156">
        <f t="shared" si="65"/>
        <v>747</v>
      </c>
      <c r="C822">
        <f t="shared" ca="1" si="62"/>
        <v>12837.141562234463</v>
      </c>
      <c r="D822">
        <f t="shared" ca="1" si="63"/>
        <v>11123.256007845444</v>
      </c>
      <c r="E822">
        <f t="shared" ca="1" si="64"/>
        <v>1713.8855543890186</v>
      </c>
    </row>
    <row r="823" spans="2:5" x14ac:dyDescent="0.2">
      <c r="B823" s="156">
        <f t="shared" si="65"/>
        <v>748</v>
      </c>
      <c r="C823">
        <f t="shared" ca="1" si="62"/>
        <v>13643.045597208629</v>
      </c>
      <c r="D823">
        <f t="shared" ca="1" si="63"/>
        <v>9784.2118512230445</v>
      </c>
      <c r="E823">
        <f t="shared" ca="1" si="64"/>
        <v>3858.8337459855848</v>
      </c>
    </row>
    <row r="824" spans="2:5" x14ac:dyDescent="0.2">
      <c r="B824" s="156">
        <f t="shared" si="65"/>
        <v>749</v>
      </c>
      <c r="C824">
        <f t="shared" ca="1" si="62"/>
        <v>13734.865049401091</v>
      </c>
      <c r="D824">
        <f t="shared" ca="1" si="63"/>
        <v>10937.437356096045</v>
      </c>
      <c r="E824">
        <f t="shared" ca="1" si="64"/>
        <v>2797.427693305046</v>
      </c>
    </row>
    <row r="825" spans="2:5" x14ac:dyDescent="0.2">
      <c r="B825" s="156">
        <f t="shared" si="65"/>
        <v>750</v>
      </c>
      <c r="C825">
        <f t="shared" ca="1" si="62"/>
        <v>17548.422569081533</v>
      </c>
      <c r="D825">
        <f t="shared" ca="1" si="63"/>
        <v>11931.893328211025</v>
      </c>
      <c r="E825">
        <f t="shared" ca="1" si="64"/>
        <v>5616.5292408705081</v>
      </c>
    </row>
    <row r="826" spans="2:5" x14ac:dyDescent="0.2">
      <c r="B826" s="156">
        <f t="shared" si="65"/>
        <v>751</v>
      </c>
      <c r="C826">
        <f t="shared" ca="1" si="62"/>
        <v>14324.433934873729</v>
      </c>
      <c r="D826">
        <f t="shared" ca="1" si="63"/>
        <v>12700.527316142661</v>
      </c>
      <c r="E826">
        <f t="shared" ca="1" si="64"/>
        <v>1623.9066187310673</v>
      </c>
    </row>
    <row r="827" spans="2:5" x14ac:dyDescent="0.2">
      <c r="B827" s="156">
        <f t="shared" si="65"/>
        <v>752</v>
      </c>
      <c r="C827">
        <f t="shared" ca="1" si="62"/>
        <v>15673.78385611279</v>
      </c>
      <c r="D827">
        <f t="shared" ca="1" si="63"/>
        <v>12580.192930454408</v>
      </c>
      <c r="E827">
        <f t="shared" ca="1" si="64"/>
        <v>3093.5909256583818</v>
      </c>
    </row>
    <row r="828" spans="2:5" x14ac:dyDescent="0.2">
      <c r="B828" s="156">
        <f t="shared" si="65"/>
        <v>753</v>
      </c>
      <c r="C828">
        <f t="shared" ca="1" si="62"/>
        <v>14636.853942579854</v>
      </c>
      <c r="D828">
        <f t="shared" ca="1" si="63"/>
        <v>12006.2082473549</v>
      </c>
      <c r="E828">
        <f t="shared" ca="1" si="64"/>
        <v>2630.6456952249537</v>
      </c>
    </row>
    <row r="829" spans="2:5" x14ac:dyDescent="0.2">
      <c r="B829" s="156">
        <f t="shared" si="65"/>
        <v>754</v>
      </c>
      <c r="C829">
        <f t="shared" ca="1" si="62"/>
        <v>12048.254744055248</v>
      </c>
      <c r="D829">
        <f t="shared" ca="1" si="63"/>
        <v>11593.193147134962</v>
      </c>
      <c r="E829">
        <f t="shared" ca="1" si="64"/>
        <v>455.06159692028632</v>
      </c>
    </row>
    <row r="830" spans="2:5" x14ac:dyDescent="0.2">
      <c r="B830" s="156">
        <f t="shared" si="65"/>
        <v>755</v>
      </c>
      <c r="C830">
        <f t="shared" ca="1" si="62"/>
        <v>14156.835934836348</v>
      </c>
      <c r="D830">
        <f t="shared" ca="1" si="63"/>
        <v>11334.960966961657</v>
      </c>
      <c r="E830">
        <f t="shared" ca="1" si="64"/>
        <v>2821.8749678746917</v>
      </c>
    </row>
    <row r="831" spans="2:5" x14ac:dyDescent="0.2">
      <c r="B831" s="156">
        <f t="shared" si="65"/>
        <v>756</v>
      </c>
      <c r="C831">
        <f t="shared" ca="1" si="62"/>
        <v>15140.841302875633</v>
      </c>
      <c r="D831">
        <f t="shared" ca="1" si="63"/>
        <v>11060.315562361297</v>
      </c>
      <c r="E831">
        <f t="shared" ca="1" si="64"/>
        <v>4080.5257405143366</v>
      </c>
    </row>
    <row r="832" spans="2:5" x14ac:dyDescent="0.2">
      <c r="B832" s="156">
        <f t="shared" si="65"/>
        <v>757</v>
      </c>
      <c r="C832">
        <f t="shared" ca="1" si="62"/>
        <v>13383.01106935889</v>
      </c>
      <c r="D832">
        <f t="shared" ca="1" si="63"/>
        <v>9952.2080329575092</v>
      </c>
      <c r="E832">
        <f t="shared" ca="1" si="64"/>
        <v>3430.8030364013812</v>
      </c>
    </row>
    <row r="833" spans="2:5" x14ac:dyDescent="0.2">
      <c r="B833" s="156">
        <f t="shared" si="65"/>
        <v>758</v>
      </c>
      <c r="C833">
        <f t="shared" ca="1" si="62"/>
        <v>12971.924638809776</v>
      </c>
      <c r="D833">
        <f t="shared" ca="1" si="63"/>
        <v>12020.689002695724</v>
      </c>
      <c r="E833">
        <f t="shared" ca="1" si="64"/>
        <v>951.23563611405189</v>
      </c>
    </row>
    <row r="834" spans="2:5" x14ac:dyDescent="0.2">
      <c r="B834" s="156">
        <f t="shared" si="65"/>
        <v>759</v>
      </c>
      <c r="C834">
        <f t="shared" ca="1" si="62"/>
        <v>15473.653503532048</v>
      </c>
      <c r="D834">
        <f t="shared" ca="1" si="63"/>
        <v>12565.004534540858</v>
      </c>
      <c r="E834">
        <f t="shared" ca="1" si="64"/>
        <v>2908.6489689911905</v>
      </c>
    </row>
    <row r="835" spans="2:5" x14ac:dyDescent="0.2">
      <c r="B835" s="156">
        <f t="shared" si="65"/>
        <v>760</v>
      </c>
      <c r="C835">
        <f t="shared" ca="1" si="62"/>
        <v>14272.106337166842</v>
      </c>
      <c r="D835">
        <f t="shared" ca="1" si="63"/>
        <v>10806.225567695697</v>
      </c>
      <c r="E835">
        <f t="shared" ca="1" si="64"/>
        <v>3465.880769471145</v>
      </c>
    </row>
    <row r="836" spans="2:5" x14ac:dyDescent="0.2">
      <c r="B836" s="156">
        <f t="shared" si="65"/>
        <v>761</v>
      </c>
      <c r="C836">
        <f t="shared" ca="1" si="62"/>
        <v>11794.110974546566</v>
      </c>
      <c r="D836">
        <f t="shared" ca="1" si="63"/>
        <v>10375.101396281592</v>
      </c>
      <c r="E836">
        <f t="shared" ca="1" si="64"/>
        <v>1419.0095782649732</v>
      </c>
    </row>
    <row r="837" spans="2:5" x14ac:dyDescent="0.2">
      <c r="B837" s="156">
        <f t="shared" si="65"/>
        <v>762</v>
      </c>
      <c r="C837">
        <f t="shared" ca="1" si="62"/>
        <v>12538.352386683326</v>
      </c>
      <c r="D837">
        <f t="shared" ca="1" si="63"/>
        <v>13478.941228204912</v>
      </c>
      <c r="E837">
        <f t="shared" ca="1" si="64"/>
        <v>-940.5888415215868</v>
      </c>
    </row>
    <row r="838" spans="2:5" x14ac:dyDescent="0.2">
      <c r="B838" s="156">
        <f t="shared" si="65"/>
        <v>763</v>
      </c>
      <c r="C838">
        <f t="shared" ca="1" si="62"/>
        <v>16536.532528852615</v>
      </c>
      <c r="D838">
        <f t="shared" ca="1" si="63"/>
        <v>8504.5388468885121</v>
      </c>
      <c r="E838">
        <f t="shared" ca="1" si="64"/>
        <v>8031.9936819641025</v>
      </c>
    </row>
    <row r="839" spans="2:5" x14ac:dyDescent="0.2">
      <c r="B839" s="156">
        <f t="shared" si="65"/>
        <v>764</v>
      </c>
      <c r="C839">
        <f t="shared" ca="1" si="62"/>
        <v>15088.942305037455</v>
      </c>
      <c r="D839">
        <f t="shared" ca="1" si="63"/>
        <v>8625.2666928323433</v>
      </c>
      <c r="E839">
        <f t="shared" ca="1" si="64"/>
        <v>6463.675612205112</v>
      </c>
    </row>
    <row r="840" spans="2:5" x14ac:dyDescent="0.2">
      <c r="B840" s="156">
        <f t="shared" si="65"/>
        <v>765</v>
      </c>
      <c r="C840">
        <f t="shared" ca="1" si="62"/>
        <v>12974.268997370586</v>
      </c>
      <c r="D840">
        <f t="shared" ca="1" si="63"/>
        <v>11396.94194392528</v>
      </c>
      <c r="E840">
        <f t="shared" ca="1" si="64"/>
        <v>1577.3270534453059</v>
      </c>
    </row>
    <row r="841" spans="2:5" x14ac:dyDescent="0.2">
      <c r="B841" s="156">
        <f t="shared" si="65"/>
        <v>766</v>
      </c>
      <c r="C841">
        <f t="shared" ca="1" si="62"/>
        <v>16140.401933455252</v>
      </c>
      <c r="D841">
        <f t="shared" ca="1" si="63"/>
        <v>10959.501114224935</v>
      </c>
      <c r="E841">
        <f t="shared" ca="1" si="64"/>
        <v>5180.9008192303172</v>
      </c>
    </row>
    <row r="842" spans="2:5" x14ac:dyDescent="0.2">
      <c r="B842" s="156">
        <f t="shared" si="65"/>
        <v>767</v>
      </c>
      <c r="C842">
        <f t="shared" ca="1" si="62"/>
        <v>15602.051356951726</v>
      </c>
      <c r="D842">
        <f t="shared" ca="1" si="63"/>
        <v>12082.452606866535</v>
      </c>
      <c r="E842">
        <f t="shared" ca="1" si="64"/>
        <v>3519.5987500851916</v>
      </c>
    </row>
    <row r="843" spans="2:5" x14ac:dyDescent="0.2">
      <c r="B843" s="156">
        <f t="shared" si="65"/>
        <v>768</v>
      </c>
      <c r="C843">
        <f t="shared" ca="1" si="62"/>
        <v>16498.490127799534</v>
      </c>
      <c r="D843">
        <f t="shared" ca="1" si="63"/>
        <v>11479.540122011076</v>
      </c>
      <c r="E843">
        <f t="shared" ca="1" si="64"/>
        <v>5018.9500057884579</v>
      </c>
    </row>
    <row r="844" spans="2:5" x14ac:dyDescent="0.2">
      <c r="B844" s="156">
        <f t="shared" si="65"/>
        <v>769</v>
      </c>
      <c r="C844">
        <f t="shared" ca="1" si="62"/>
        <v>16466.360204279139</v>
      </c>
      <c r="D844">
        <f t="shared" ca="1" si="63"/>
        <v>12358.358629732544</v>
      </c>
      <c r="E844">
        <f t="shared" ca="1" si="64"/>
        <v>4108.0015745465953</v>
      </c>
    </row>
    <row r="845" spans="2:5" x14ac:dyDescent="0.2">
      <c r="B845" s="156">
        <f t="shared" si="65"/>
        <v>770</v>
      </c>
      <c r="C845">
        <f t="shared" ref="C845:C908" ca="1" si="66">$C$70*(1+_xlfn.NORM.S.INV(RAND())*$C$72)</f>
        <v>14968.007221825972</v>
      </c>
      <c r="D845">
        <f t="shared" ref="D845:D908" ca="1" si="67">$C$71*(1+_xlfn.NORM.S.INV(RAND())*$C$73)</f>
        <v>12479.486638356653</v>
      </c>
      <c r="E845">
        <f t="shared" ref="E845:E908" ca="1" si="68">C845-D845</f>
        <v>2488.5205834693188</v>
      </c>
    </row>
    <row r="846" spans="2:5" x14ac:dyDescent="0.2">
      <c r="B846" s="156">
        <f t="shared" ref="B846:B909" si="69">B845+1</f>
        <v>771</v>
      </c>
      <c r="C846">
        <f t="shared" ca="1" si="66"/>
        <v>17066.785375999269</v>
      </c>
      <c r="D846">
        <f t="shared" ca="1" si="67"/>
        <v>12892.799857343878</v>
      </c>
      <c r="E846">
        <f t="shared" ca="1" si="68"/>
        <v>4173.9855186553905</v>
      </c>
    </row>
    <row r="847" spans="2:5" x14ac:dyDescent="0.2">
      <c r="B847" s="156">
        <f t="shared" si="69"/>
        <v>772</v>
      </c>
      <c r="C847">
        <f t="shared" ca="1" si="66"/>
        <v>13948.408526408652</v>
      </c>
      <c r="D847">
        <f t="shared" ca="1" si="67"/>
        <v>11203.963947529079</v>
      </c>
      <c r="E847">
        <f t="shared" ca="1" si="68"/>
        <v>2744.4445788795729</v>
      </c>
    </row>
    <row r="848" spans="2:5" x14ac:dyDescent="0.2">
      <c r="B848" s="156">
        <f t="shared" si="69"/>
        <v>773</v>
      </c>
      <c r="C848">
        <f t="shared" ca="1" si="66"/>
        <v>14306.710367613774</v>
      </c>
      <c r="D848">
        <f t="shared" ca="1" si="67"/>
        <v>10461.033151547992</v>
      </c>
      <c r="E848">
        <f t="shared" ca="1" si="68"/>
        <v>3845.677216065782</v>
      </c>
    </row>
    <row r="849" spans="2:5" x14ac:dyDescent="0.2">
      <c r="B849" s="156">
        <f t="shared" si="69"/>
        <v>774</v>
      </c>
      <c r="C849">
        <f t="shared" ca="1" si="66"/>
        <v>15835.507509054263</v>
      </c>
      <c r="D849">
        <f t="shared" ca="1" si="67"/>
        <v>11259.301034064372</v>
      </c>
      <c r="E849">
        <f t="shared" ca="1" si="68"/>
        <v>4576.2064749898909</v>
      </c>
    </row>
    <row r="850" spans="2:5" x14ac:dyDescent="0.2">
      <c r="B850" s="156">
        <f t="shared" si="69"/>
        <v>775</v>
      </c>
      <c r="C850">
        <f t="shared" ca="1" si="66"/>
        <v>15945.754638299244</v>
      </c>
      <c r="D850">
        <f t="shared" ca="1" si="67"/>
        <v>12092.061419005884</v>
      </c>
      <c r="E850">
        <f t="shared" ca="1" si="68"/>
        <v>3853.69321929336</v>
      </c>
    </row>
    <row r="851" spans="2:5" x14ac:dyDescent="0.2">
      <c r="B851" s="156">
        <f t="shared" si="69"/>
        <v>776</v>
      </c>
      <c r="C851">
        <f t="shared" ca="1" si="66"/>
        <v>14829.328422558037</v>
      </c>
      <c r="D851">
        <f t="shared" ca="1" si="67"/>
        <v>14293.07152686362</v>
      </c>
      <c r="E851">
        <f t="shared" ca="1" si="68"/>
        <v>536.25689569441784</v>
      </c>
    </row>
    <row r="852" spans="2:5" x14ac:dyDescent="0.2">
      <c r="B852" s="156">
        <f t="shared" si="69"/>
        <v>777</v>
      </c>
      <c r="C852">
        <f t="shared" ca="1" si="66"/>
        <v>14125.224916467912</v>
      </c>
      <c r="D852">
        <f t="shared" ca="1" si="67"/>
        <v>13108.16952835681</v>
      </c>
      <c r="E852">
        <f t="shared" ca="1" si="68"/>
        <v>1017.0553881111027</v>
      </c>
    </row>
    <row r="853" spans="2:5" x14ac:dyDescent="0.2">
      <c r="B853" s="156">
        <f t="shared" si="69"/>
        <v>778</v>
      </c>
      <c r="C853">
        <f t="shared" ca="1" si="66"/>
        <v>16406.746624330262</v>
      </c>
      <c r="D853">
        <f t="shared" ca="1" si="67"/>
        <v>11243.087120080663</v>
      </c>
      <c r="E853">
        <f t="shared" ca="1" si="68"/>
        <v>5163.6595042495992</v>
      </c>
    </row>
    <row r="854" spans="2:5" x14ac:dyDescent="0.2">
      <c r="B854" s="156">
        <f t="shared" si="69"/>
        <v>779</v>
      </c>
      <c r="C854">
        <f t="shared" ca="1" si="66"/>
        <v>15035.557367455076</v>
      </c>
      <c r="D854">
        <f t="shared" ca="1" si="67"/>
        <v>12173.40005135329</v>
      </c>
      <c r="E854">
        <f t="shared" ca="1" si="68"/>
        <v>2862.1573161017859</v>
      </c>
    </row>
    <row r="855" spans="2:5" x14ac:dyDescent="0.2">
      <c r="B855" s="156">
        <f t="shared" si="69"/>
        <v>780</v>
      </c>
      <c r="C855">
        <f t="shared" ca="1" si="66"/>
        <v>15754.102229335807</v>
      </c>
      <c r="D855">
        <f t="shared" ca="1" si="67"/>
        <v>11941.578461483112</v>
      </c>
      <c r="E855">
        <f t="shared" ca="1" si="68"/>
        <v>3812.5237678526955</v>
      </c>
    </row>
    <row r="856" spans="2:5" x14ac:dyDescent="0.2">
      <c r="B856" s="156">
        <f t="shared" si="69"/>
        <v>781</v>
      </c>
      <c r="C856">
        <f t="shared" ca="1" si="66"/>
        <v>15355.581255841904</v>
      </c>
      <c r="D856">
        <f t="shared" ca="1" si="67"/>
        <v>12320.128212026169</v>
      </c>
      <c r="E856">
        <f t="shared" ca="1" si="68"/>
        <v>3035.4530438157344</v>
      </c>
    </row>
    <row r="857" spans="2:5" x14ac:dyDescent="0.2">
      <c r="B857" s="156">
        <f t="shared" si="69"/>
        <v>782</v>
      </c>
      <c r="C857">
        <f t="shared" ca="1" si="66"/>
        <v>13641.917643200532</v>
      </c>
      <c r="D857">
        <f t="shared" ca="1" si="67"/>
        <v>13004.13976902228</v>
      </c>
      <c r="E857">
        <f t="shared" ca="1" si="68"/>
        <v>637.7778741782513</v>
      </c>
    </row>
    <row r="858" spans="2:5" x14ac:dyDescent="0.2">
      <c r="B858" s="156">
        <f t="shared" si="69"/>
        <v>783</v>
      </c>
      <c r="C858">
        <f t="shared" ca="1" si="66"/>
        <v>14075.994046123071</v>
      </c>
      <c r="D858">
        <f t="shared" ca="1" si="67"/>
        <v>12260.371467624313</v>
      </c>
      <c r="E858">
        <f t="shared" ca="1" si="68"/>
        <v>1815.6225784987582</v>
      </c>
    </row>
    <row r="859" spans="2:5" x14ac:dyDescent="0.2">
      <c r="B859" s="156">
        <f t="shared" si="69"/>
        <v>784</v>
      </c>
      <c r="C859">
        <f t="shared" ca="1" si="66"/>
        <v>13299.158623075562</v>
      </c>
      <c r="D859">
        <f t="shared" ca="1" si="67"/>
        <v>12238.613813788201</v>
      </c>
      <c r="E859">
        <f t="shared" ca="1" si="68"/>
        <v>1060.5448092873612</v>
      </c>
    </row>
    <row r="860" spans="2:5" x14ac:dyDescent="0.2">
      <c r="B860" s="156">
        <f t="shared" si="69"/>
        <v>785</v>
      </c>
      <c r="C860">
        <f t="shared" ca="1" si="66"/>
        <v>13204.877977107357</v>
      </c>
      <c r="D860">
        <f t="shared" ca="1" si="67"/>
        <v>12706.508669755223</v>
      </c>
      <c r="E860">
        <f t="shared" ca="1" si="68"/>
        <v>498.36930735213355</v>
      </c>
    </row>
    <row r="861" spans="2:5" x14ac:dyDescent="0.2">
      <c r="B861" s="156">
        <f t="shared" si="69"/>
        <v>786</v>
      </c>
      <c r="C861">
        <f t="shared" ca="1" si="66"/>
        <v>14582.378993648681</v>
      </c>
      <c r="D861">
        <f t="shared" ca="1" si="67"/>
        <v>12071.149104160322</v>
      </c>
      <c r="E861">
        <f t="shared" ca="1" si="68"/>
        <v>2511.2298894883588</v>
      </c>
    </row>
    <row r="862" spans="2:5" x14ac:dyDescent="0.2">
      <c r="B862" s="156">
        <f t="shared" si="69"/>
        <v>787</v>
      </c>
      <c r="C862">
        <f t="shared" ca="1" si="66"/>
        <v>15302.61881018145</v>
      </c>
      <c r="D862">
        <f t="shared" ca="1" si="67"/>
        <v>11860.697312110708</v>
      </c>
      <c r="E862">
        <f t="shared" ca="1" si="68"/>
        <v>3441.921498070742</v>
      </c>
    </row>
    <row r="863" spans="2:5" x14ac:dyDescent="0.2">
      <c r="B863" s="156">
        <f t="shared" si="69"/>
        <v>788</v>
      </c>
      <c r="C863">
        <f t="shared" ca="1" si="66"/>
        <v>13429.643793487227</v>
      </c>
      <c r="D863">
        <f t="shared" ca="1" si="67"/>
        <v>11631.004739494228</v>
      </c>
      <c r="E863">
        <f t="shared" ca="1" si="68"/>
        <v>1798.639053992998</v>
      </c>
    </row>
    <row r="864" spans="2:5" x14ac:dyDescent="0.2">
      <c r="B864" s="156">
        <f t="shared" si="69"/>
        <v>789</v>
      </c>
      <c r="C864">
        <f t="shared" ca="1" si="66"/>
        <v>15563.843814506465</v>
      </c>
      <c r="D864">
        <f t="shared" ca="1" si="67"/>
        <v>10641.87814272924</v>
      </c>
      <c r="E864">
        <f t="shared" ca="1" si="68"/>
        <v>4921.965671777225</v>
      </c>
    </row>
    <row r="865" spans="2:5" x14ac:dyDescent="0.2">
      <c r="B865" s="156">
        <f t="shared" si="69"/>
        <v>790</v>
      </c>
      <c r="C865">
        <f t="shared" ca="1" si="66"/>
        <v>13861.912271829451</v>
      </c>
      <c r="D865">
        <f t="shared" ca="1" si="67"/>
        <v>11484.798136457563</v>
      </c>
      <c r="E865">
        <f t="shared" ca="1" si="68"/>
        <v>2377.1141353718886</v>
      </c>
    </row>
    <row r="866" spans="2:5" x14ac:dyDescent="0.2">
      <c r="B866" s="156">
        <f t="shared" si="69"/>
        <v>791</v>
      </c>
      <c r="C866">
        <f t="shared" ca="1" si="66"/>
        <v>14950.645743543651</v>
      </c>
      <c r="D866">
        <f t="shared" ca="1" si="67"/>
        <v>13786.240502562527</v>
      </c>
      <c r="E866">
        <f t="shared" ca="1" si="68"/>
        <v>1164.4052409811247</v>
      </c>
    </row>
    <row r="867" spans="2:5" x14ac:dyDescent="0.2">
      <c r="B867" s="156">
        <f t="shared" si="69"/>
        <v>792</v>
      </c>
      <c r="C867">
        <f t="shared" ca="1" si="66"/>
        <v>15467.248691910616</v>
      </c>
      <c r="D867">
        <f t="shared" ca="1" si="67"/>
        <v>10666.184245780243</v>
      </c>
      <c r="E867">
        <f t="shared" ca="1" si="68"/>
        <v>4801.0644461303727</v>
      </c>
    </row>
    <row r="868" spans="2:5" x14ac:dyDescent="0.2">
      <c r="B868" s="156">
        <f t="shared" si="69"/>
        <v>793</v>
      </c>
      <c r="C868">
        <f t="shared" ca="1" si="66"/>
        <v>15548.249304337302</v>
      </c>
      <c r="D868">
        <f t="shared" ca="1" si="67"/>
        <v>11250.27008449986</v>
      </c>
      <c r="E868">
        <f t="shared" ca="1" si="68"/>
        <v>4297.9792198374416</v>
      </c>
    </row>
    <row r="869" spans="2:5" x14ac:dyDescent="0.2">
      <c r="B869" s="156">
        <f t="shared" si="69"/>
        <v>794</v>
      </c>
      <c r="C869">
        <f t="shared" ca="1" si="66"/>
        <v>12128.572039428802</v>
      </c>
      <c r="D869">
        <f t="shared" ca="1" si="67"/>
        <v>12444.960326651268</v>
      </c>
      <c r="E869">
        <f t="shared" ca="1" si="68"/>
        <v>-316.38828722246581</v>
      </c>
    </row>
    <row r="870" spans="2:5" x14ac:dyDescent="0.2">
      <c r="B870" s="156">
        <f t="shared" si="69"/>
        <v>795</v>
      </c>
      <c r="C870">
        <f t="shared" ca="1" si="66"/>
        <v>15450.349604352676</v>
      </c>
      <c r="D870">
        <f t="shared" ca="1" si="67"/>
        <v>11850.929253766923</v>
      </c>
      <c r="E870">
        <f t="shared" ca="1" si="68"/>
        <v>3599.4203505857531</v>
      </c>
    </row>
    <row r="871" spans="2:5" x14ac:dyDescent="0.2">
      <c r="B871" s="156">
        <f t="shared" si="69"/>
        <v>796</v>
      </c>
      <c r="C871">
        <f t="shared" ca="1" si="66"/>
        <v>13722.148846661215</v>
      </c>
      <c r="D871">
        <f t="shared" ca="1" si="67"/>
        <v>13715.294282446393</v>
      </c>
      <c r="E871">
        <f t="shared" ca="1" si="68"/>
        <v>6.8545642148219486</v>
      </c>
    </row>
    <row r="872" spans="2:5" x14ac:dyDescent="0.2">
      <c r="B872" s="156">
        <f t="shared" si="69"/>
        <v>797</v>
      </c>
      <c r="C872">
        <f t="shared" ca="1" si="66"/>
        <v>15934.972967200276</v>
      </c>
      <c r="D872">
        <f t="shared" ca="1" si="67"/>
        <v>13341.464251915651</v>
      </c>
      <c r="E872">
        <f t="shared" ca="1" si="68"/>
        <v>2593.5087152846245</v>
      </c>
    </row>
    <row r="873" spans="2:5" x14ac:dyDescent="0.2">
      <c r="B873" s="156">
        <f t="shared" si="69"/>
        <v>798</v>
      </c>
      <c r="C873">
        <f t="shared" ca="1" si="66"/>
        <v>13941.358764987015</v>
      </c>
      <c r="D873">
        <f t="shared" ca="1" si="67"/>
        <v>10562.041846537795</v>
      </c>
      <c r="E873">
        <f t="shared" ca="1" si="68"/>
        <v>3379.3169184492199</v>
      </c>
    </row>
    <row r="874" spans="2:5" x14ac:dyDescent="0.2">
      <c r="B874" s="156">
        <f t="shared" si="69"/>
        <v>799</v>
      </c>
      <c r="C874">
        <f t="shared" ca="1" si="66"/>
        <v>15283.926992271632</v>
      </c>
      <c r="D874">
        <f t="shared" ca="1" si="67"/>
        <v>12552.493790191189</v>
      </c>
      <c r="E874">
        <f t="shared" ca="1" si="68"/>
        <v>2731.4332020804432</v>
      </c>
    </row>
    <row r="875" spans="2:5" x14ac:dyDescent="0.2">
      <c r="B875" s="156">
        <f t="shared" si="69"/>
        <v>800</v>
      </c>
      <c r="C875">
        <f t="shared" ca="1" si="66"/>
        <v>13400.971798999157</v>
      </c>
      <c r="D875">
        <f t="shared" ca="1" si="67"/>
        <v>13604.918757173256</v>
      </c>
      <c r="E875">
        <f t="shared" ca="1" si="68"/>
        <v>-203.94695817409956</v>
      </c>
    </row>
    <row r="876" spans="2:5" x14ac:dyDescent="0.2">
      <c r="B876" s="156">
        <f t="shared" si="69"/>
        <v>801</v>
      </c>
      <c r="C876">
        <f t="shared" ca="1" si="66"/>
        <v>15036.484101263721</v>
      </c>
      <c r="D876">
        <f t="shared" ca="1" si="67"/>
        <v>12861.651999771633</v>
      </c>
      <c r="E876">
        <f t="shared" ca="1" si="68"/>
        <v>2174.8321014920875</v>
      </c>
    </row>
    <row r="877" spans="2:5" x14ac:dyDescent="0.2">
      <c r="B877" s="156">
        <f t="shared" si="69"/>
        <v>802</v>
      </c>
      <c r="C877">
        <f t="shared" ca="1" si="66"/>
        <v>15604.974636878202</v>
      </c>
      <c r="D877">
        <f t="shared" ca="1" si="67"/>
        <v>11438.654717726542</v>
      </c>
      <c r="E877">
        <f t="shared" ca="1" si="68"/>
        <v>4166.3199191516596</v>
      </c>
    </row>
    <row r="878" spans="2:5" x14ac:dyDescent="0.2">
      <c r="B878" s="156">
        <f t="shared" si="69"/>
        <v>803</v>
      </c>
      <c r="C878">
        <f t="shared" ca="1" si="66"/>
        <v>16404.379161558943</v>
      </c>
      <c r="D878">
        <f t="shared" ca="1" si="67"/>
        <v>11711.429491407203</v>
      </c>
      <c r="E878">
        <f t="shared" ca="1" si="68"/>
        <v>4692.9496701517401</v>
      </c>
    </row>
    <row r="879" spans="2:5" x14ac:dyDescent="0.2">
      <c r="B879" s="156">
        <f t="shared" si="69"/>
        <v>804</v>
      </c>
      <c r="C879">
        <f t="shared" ca="1" si="66"/>
        <v>13517.636111136453</v>
      </c>
      <c r="D879">
        <f t="shared" ca="1" si="67"/>
        <v>11846.088634368725</v>
      </c>
      <c r="E879">
        <f t="shared" ca="1" si="68"/>
        <v>1671.5474767677279</v>
      </c>
    </row>
    <row r="880" spans="2:5" x14ac:dyDescent="0.2">
      <c r="B880" s="156">
        <f t="shared" si="69"/>
        <v>805</v>
      </c>
      <c r="C880">
        <f t="shared" ca="1" si="66"/>
        <v>14390.19641091407</v>
      </c>
      <c r="D880">
        <f t="shared" ca="1" si="67"/>
        <v>12127.390177633633</v>
      </c>
      <c r="E880">
        <f t="shared" ca="1" si="68"/>
        <v>2262.8062332804366</v>
      </c>
    </row>
    <row r="881" spans="2:5" x14ac:dyDescent="0.2">
      <c r="B881" s="156">
        <f t="shared" si="69"/>
        <v>806</v>
      </c>
      <c r="C881">
        <f t="shared" ca="1" si="66"/>
        <v>15021.893817553697</v>
      </c>
      <c r="D881">
        <f t="shared" ca="1" si="67"/>
        <v>10314.545851565752</v>
      </c>
      <c r="E881">
        <f t="shared" ca="1" si="68"/>
        <v>4707.3479659879449</v>
      </c>
    </row>
    <row r="882" spans="2:5" x14ac:dyDescent="0.2">
      <c r="B882" s="156">
        <f t="shared" si="69"/>
        <v>807</v>
      </c>
      <c r="C882">
        <f t="shared" ca="1" si="66"/>
        <v>13485.927531427949</v>
      </c>
      <c r="D882">
        <f t="shared" ca="1" si="67"/>
        <v>13350.926118361058</v>
      </c>
      <c r="E882">
        <f t="shared" ca="1" si="68"/>
        <v>135.00141306689147</v>
      </c>
    </row>
    <row r="883" spans="2:5" x14ac:dyDescent="0.2">
      <c r="B883" s="156">
        <f t="shared" si="69"/>
        <v>808</v>
      </c>
      <c r="C883">
        <f t="shared" ca="1" si="66"/>
        <v>13744.225120311849</v>
      </c>
      <c r="D883">
        <f t="shared" ca="1" si="67"/>
        <v>12205.563148528076</v>
      </c>
      <c r="E883">
        <f t="shared" ca="1" si="68"/>
        <v>1538.661971783773</v>
      </c>
    </row>
    <row r="884" spans="2:5" x14ac:dyDescent="0.2">
      <c r="B884" s="156">
        <f t="shared" si="69"/>
        <v>809</v>
      </c>
      <c r="C884">
        <f t="shared" ca="1" si="66"/>
        <v>13116.744562519125</v>
      </c>
      <c r="D884">
        <f t="shared" ca="1" si="67"/>
        <v>11997.23801568592</v>
      </c>
      <c r="E884">
        <f t="shared" ca="1" si="68"/>
        <v>1119.506546833205</v>
      </c>
    </row>
    <row r="885" spans="2:5" x14ac:dyDescent="0.2">
      <c r="B885" s="156">
        <f t="shared" si="69"/>
        <v>810</v>
      </c>
      <c r="C885">
        <f t="shared" ca="1" si="66"/>
        <v>16414.28468341734</v>
      </c>
      <c r="D885">
        <f t="shared" ca="1" si="67"/>
        <v>12586.93241625295</v>
      </c>
      <c r="E885">
        <f t="shared" ca="1" si="68"/>
        <v>3827.3522671643896</v>
      </c>
    </row>
    <row r="886" spans="2:5" x14ac:dyDescent="0.2">
      <c r="B886" s="156">
        <f t="shared" si="69"/>
        <v>811</v>
      </c>
      <c r="C886">
        <f t="shared" ca="1" si="66"/>
        <v>15781.761447440356</v>
      </c>
      <c r="D886">
        <f t="shared" ca="1" si="67"/>
        <v>12254.828937562972</v>
      </c>
      <c r="E886">
        <f t="shared" ca="1" si="68"/>
        <v>3526.9325098773843</v>
      </c>
    </row>
    <row r="887" spans="2:5" x14ac:dyDescent="0.2">
      <c r="B887" s="156">
        <f t="shared" si="69"/>
        <v>812</v>
      </c>
      <c r="C887">
        <f t="shared" ca="1" si="66"/>
        <v>15528.37225863745</v>
      </c>
      <c r="D887">
        <f t="shared" ca="1" si="67"/>
        <v>10296.931769833338</v>
      </c>
      <c r="E887">
        <f t="shared" ca="1" si="68"/>
        <v>5231.4404888041117</v>
      </c>
    </row>
    <row r="888" spans="2:5" x14ac:dyDescent="0.2">
      <c r="B888" s="156">
        <f t="shared" si="69"/>
        <v>813</v>
      </c>
      <c r="C888">
        <f t="shared" ca="1" si="66"/>
        <v>14852.284914349935</v>
      </c>
      <c r="D888">
        <f t="shared" ca="1" si="67"/>
        <v>13552.248840923365</v>
      </c>
      <c r="E888">
        <f t="shared" ca="1" si="68"/>
        <v>1300.0360734265705</v>
      </c>
    </row>
    <row r="889" spans="2:5" x14ac:dyDescent="0.2">
      <c r="B889" s="156">
        <f t="shared" si="69"/>
        <v>814</v>
      </c>
      <c r="C889">
        <f t="shared" ca="1" si="66"/>
        <v>12753.215974811843</v>
      </c>
      <c r="D889">
        <f t="shared" ca="1" si="67"/>
        <v>10701.922693054352</v>
      </c>
      <c r="E889">
        <f t="shared" ca="1" si="68"/>
        <v>2051.2932817574911</v>
      </c>
    </row>
    <row r="890" spans="2:5" x14ac:dyDescent="0.2">
      <c r="B890" s="156">
        <f t="shared" si="69"/>
        <v>815</v>
      </c>
      <c r="C890">
        <f t="shared" ca="1" si="66"/>
        <v>11655.242297882036</v>
      </c>
      <c r="D890">
        <f t="shared" ca="1" si="67"/>
        <v>12351.346723327813</v>
      </c>
      <c r="E890">
        <f t="shared" ca="1" si="68"/>
        <v>-696.10442544577745</v>
      </c>
    </row>
    <row r="891" spans="2:5" x14ac:dyDescent="0.2">
      <c r="B891" s="156">
        <f t="shared" si="69"/>
        <v>816</v>
      </c>
      <c r="C891">
        <f t="shared" ca="1" si="66"/>
        <v>15450.490677806531</v>
      </c>
      <c r="D891">
        <f t="shared" ca="1" si="67"/>
        <v>12452.487237655214</v>
      </c>
      <c r="E891">
        <f t="shared" ca="1" si="68"/>
        <v>2998.0034401513167</v>
      </c>
    </row>
    <row r="892" spans="2:5" x14ac:dyDescent="0.2">
      <c r="B892" s="156">
        <f t="shared" si="69"/>
        <v>817</v>
      </c>
      <c r="C892">
        <f t="shared" ca="1" si="66"/>
        <v>15253.386475406725</v>
      </c>
      <c r="D892">
        <f t="shared" ca="1" si="67"/>
        <v>12075.0293232638</v>
      </c>
      <c r="E892">
        <f t="shared" ca="1" si="68"/>
        <v>3178.3571521429258</v>
      </c>
    </row>
    <row r="893" spans="2:5" x14ac:dyDescent="0.2">
      <c r="B893" s="156">
        <f t="shared" si="69"/>
        <v>818</v>
      </c>
      <c r="C893">
        <f t="shared" ca="1" si="66"/>
        <v>16130.440537238432</v>
      </c>
      <c r="D893">
        <f t="shared" ca="1" si="67"/>
        <v>11718.314884191477</v>
      </c>
      <c r="E893">
        <f t="shared" ca="1" si="68"/>
        <v>4412.1256530469545</v>
      </c>
    </row>
    <row r="894" spans="2:5" x14ac:dyDescent="0.2">
      <c r="B894" s="156">
        <f t="shared" si="69"/>
        <v>819</v>
      </c>
      <c r="C894">
        <f t="shared" ca="1" si="66"/>
        <v>12863.312062370078</v>
      </c>
      <c r="D894">
        <f t="shared" ca="1" si="67"/>
        <v>11092.445580724278</v>
      </c>
      <c r="E894">
        <f t="shared" ca="1" si="68"/>
        <v>1770.8664816458004</v>
      </c>
    </row>
    <row r="895" spans="2:5" x14ac:dyDescent="0.2">
      <c r="B895" s="156">
        <f t="shared" si="69"/>
        <v>820</v>
      </c>
      <c r="C895">
        <f t="shared" ca="1" si="66"/>
        <v>16250.871818060898</v>
      </c>
      <c r="D895">
        <f t="shared" ca="1" si="67"/>
        <v>9865.4753819470116</v>
      </c>
      <c r="E895">
        <f t="shared" ca="1" si="68"/>
        <v>6385.396436113886</v>
      </c>
    </row>
    <row r="896" spans="2:5" x14ac:dyDescent="0.2">
      <c r="B896" s="156">
        <f t="shared" si="69"/>
        <v>821</v>
      </c>
      <c r="C896">
        <f t="shared" ca="1" si="66"/>
        <v>15658.489210410318</v>
      </c>
      <c r="D896">
        <f t="shared" ca="1" si="67"/>
        <v>11406.447191836916</v>
      </c>
      <c r="E896">
        <f t="shared" ca="1" si="68"/>
        <v>4252.0420185734019</v>
      </c>
    </row>
    <row r="897" spans="2:5" x14ac:dyDescent="0.2">
      <c r="B897" s="156">
        <f t="shared" si="69"/>
        <v>822</v>
      </c>
      <c r="C897">
        <f t="shared" ca="1" si="66"/>
        <v>13019.490577963246</v>
      </c>
      <c r="D897">
        <f t="shared" ca="1" si="67"/>
        <v>9639.9538035830064</v>
      </c>
      <c r="E897">
        <f t="shared" ca="1" si="68"/>
        <v>3379.5367743802399</v>
      </c>
    </row>
    <row r="898" spans="2:5" x14ac:dyDescent="0.2">
      <c r="B898" s="156">
        <f t="shared" si="69"/>
        <v>823</v>
      </c>
      <c r="C898">
        <f t="shared" ca="1" si="66"/>
        <v>17977.920288391262</v>
      </c>
      <c r="D898">
        <f t="shared" ca="1" si="67"/>
        <v>16061.844381318284</v>
      </c>
      <c r="E898">
        <f t="shared" ca="1" si="68"/>
        <v>1916.0759070729782</v>
      </c>
    </row>
    <row r="899" spans="2:5" x14ac:dyDescent="0.2">
      <c r="B899" s="156">
        <f t="shared" si="69"/>
        <v>824</v>
      </c>
      <c r="C899">
        <f t="shared" ca="1" si="66"/>
        <v>14425.667701317221</v>
      </c>
      <c r="D899">
        <f t="shared" ca="1" si="67"/>
        <v>12433.603957288386</v>
      </c>
      <c r="E899">
        <f t="shared" ca="1" si="68"/>
        <v>1992.0637440288356</v>
      </c>
    </row>
    <row r="900" spans="2:5" x14ac:dyDescent="0.2">
      <c r="B900" s="156">
        <f t="shared" si="69"/>
        <v>825</v>
      </c>
      <c r="C900">
        <f t="shared" ca="1" si="66"/>
        <v>14815.728818039319</v>
      </c>
      <c r="D900">
        <f t="shared" ca="1" si="67"/>
        <v>11669.229365693818</v>
      </c>
      <c r="E900">
        <f t="shared" ca="1" si="68"/>
        <v>3146.4994523455007</v>
      </c>
    </row>
    <row r="901" spans="2:5" x14ac:dyDescent="0.2">
      <c r="B901" s="156">
        <f t="shared" si="69"/>
        <v>826</v>
      </c>
      <c r="C901">
        <f t="shared" ca="1" si="66"/>
        <v>14274.152804166511</v>
      </c>
      <c r="D901">
        <f t="shared" ca="1" si="67"/>
        <v>13701.671547757691</v>
      </c>
      <c r="E901">
        <f t="shared" ca="1" si="68"/>
        <v>572.48125640882063</v>
      </c>
    </row>
    <row r="902" spans="2:5" x14ac:dyDescent="0.2">
      <c r="B902" s="156">
        <f t="shared" si="69"/>
        <v>827</v>
      </c>
      <c r="C902">
        <f t="shared" ca="1" si="66"/>
        <v>15866.311462889493</v>
      </c>
      <c r="D902">
        <f t="shared" ca="1" si="67"/>
        <v>11094.821335764111</v>
      </c>
      <c r="E902">
        <f t="shared" ca="1" si="68"/>
        <v>4771.4901271253821</v>
      </c>
    </row>
    <row r="903" spans="2:5" x14ac:dyDescent="0.2">
      <c r="B903" s="156">
        <f t="shared" si="69"/>
        <v>828</v>
      </c>
      <c r="C903">
        <f t="shared" ca="1" si="66"/>
        <v>15934.175818360871</v>
      </c>
      <c r="D903">
        <f t="shared" ca="1" si="67"/>
        <v>11710.763896217302</v>
      </c>
      <c r="E903">
        <f t="shared" ca="1" si="68"/>
        <v>4223.4119221435685</v>
      </c>
    </row>
    <row r="904" spans="2:5" x14ac:dyDescent="0.2">
      <c r="B904" s="156">
        <f t="shared" si="69"/>
        <v>829</v>
      </c>
      <c r="C904">
        <f t="shared" ca="1" si="66"/>
        <v>15404.11307228264</v>
      </c>
      <c r="D904">
        <f t="shared" ca="1" si="67"/>
        <v>10465.517890718058</v>
      </c>
      <c r="E904">
        <f t="shared" ca="1" si="68"/>
        <v>4938.5951815645822</v>
      </c>
    </row>
    <row r="905" spans="2:5" x14ac:dyDescent="0.2">
      <c r="B905" s="156">
        <f t="shared" si="69"/>
        <v>830</v>
      </c>
      <c r="C905">
        <f t="shared" ca="1" si="66"/>
        <v>13118.193874788432</v>
      </c>
      <c r="D905">
        <f t="shared" ca="1" si="67"/>
        <v>9981.7958558255104</v>
      </c>
      <c r="E905">
        <f t="shared" ca="1" si="68"/>
        <v>3136.3980189629219</v>
      </c>
    </row>
    <row r="906" spans="2:5" x14ac:dyDescent="0.2">
      <c r="B906" s="156">
        <f t="shared" si="69"/>
        <v>831</v>
      </c>
      <c r="C906">
        <f t="shared" ca="1" si="66"/>
        <v>14015.305948129315</v>
      </c>
      <c r="D906">
        <f t="shared" ca="1" si="67"/>
        <v>12352.575843095437</v>
      </c>
      <c r="E906">
        <f t="shared" ca="1" si="68"/>
        <v>1662.7301050338774</v>
      </c>
    </row>
    <row r="907" spans="2:5" x14ac:dyDescent="0.2">
      <c r="B907" s="156">
        <f t="shared" si="69"/>
        <v>832</v>
      </c>
      <c r="C907">
        <f t="shared" ca="1" si="66"/>
        <v>14659.179459122781</v>
      </c>
      <c r="D907">
        <f t="shared" ca="1" si="67"/>
        <v>13520.098810783409</v>
      </c>
      <c r="E907">
        <f t="shared" ca="1" si="68"/>
        <v>1139.0806483393717</v>
      </c>
    </row>
    <row r="908" spans="2:5" x14ac:dyDescent="0.2">
      <c r="B908" s="156">
        <f t="shared" si="69"/>
        <v>833</v>
      </c>
      <c r="C908">
        <f t="shared" ca="1" si="66"/>
        <v>12630.472537950098</v>
      </c>
      <c r="D908">
        <f t="shared" ca="1" si="67"/>
        <v>11651.368446856128</v>
      </c>
      <c r="E908">
        <f t="shared" ca="1" si="68"/>
        <v>979.10409109397006</v>
      </c>
    </row>
    <row r="909" spans="2:5" x14ac:dyDescent="0.2">
      <c r="B909" s="156">
        <f t="shared" si="69"/>
        <v>834</v>
      </c>
      <c r="C909">
        <f t="shared" ref="C909:C972" ca="1" si="70">$C$70*(1+_xlfn.NORM.S.INV(RAND())*$C$72)</f>
        <v>15805.559722009533</v>
      </c>
      <c r="D909">
        <f t="shared" ref="D909:D972" ca="1" si="71">$C$71*(1+_xlfn.NORM.S.INV(RAND())*$C$73)</f>
        <v>13130.335673477408</v>
      </c>
      <c r="E909">
        <f t="shared" ref="E909:E972" ca="1" si="72">C909-D909</f>
        <v>2675.2240485321254</v>
      </c>
    </row>
    <row r="910" spans="2:5" x14ac:dyDescent="0.2">
      <c r="B910" s="156">
        <f t="shared" ref="B910:B973" si="73">B909+1</f>
        <v>835</v>
      </c>
      <c r="C910">
        <f t="shared" ca="1" si="70"/>
        <v>16085.975864481234</v>
      </c>
      <c r="D910">
        <f t="shared" ca="1" si="71"/>
        <v>14320.306862750689</v>
      </c>
      <c r="E910">
        <f t="shared" ca="1" si="72"/>
        <v>1765.6690017305446</v>
      </c>
    </row>
    <row r="911" spans="2:5" x14ac:dyDescent="0.2">
      <c r="B911" s="156">
        <f t="shared" si="73"/>
        <v>836</v>
      </c>
      <c r="C911">
        <f t="shared" ca="1" si="70"/>
        <v>13635.034354153255</v>
      </c>
      <c r="D911">
        <f t="shared" ca="1" si="71"/>
        <v>11666.058734309216</v>
      </c>
      <c r="E911">
        <f t="shared" ca="1" si="72"/>
        <v>1968.9756198440391</v>
      </c>
    </row>
    <row r="912" spans="2:5" x14ac:dyDescent="0.2">
      <c r="B912" s="156">
        <f t="shared" si="73"/>
        <v>837</v>
      </c>
      <c r="C912">
        <f t="shared" ca="1" si="70"/>
        <v>16356.623094050368</v>
      </c>
      <c r="D912">
        <f t="shared" ca="1" si="71"/>
        <v>13129.438290130467</v>
      </c>
      <c r="E912">
        <f t="shared" ca="1" si="72"/>
        <v>3227.1848039199012</v>
      </c>
    </row>
    <row r="913" spans="2:5" x14ac:dyDescent="0.2">
      <c r="B913" s="156">
        <f t="shared" si="73"/>
        <v>838</v>
      </c>
      <c r="C913">
        <f t="shared" ca="1" si="70"/>
        <v>15963.531561902964</v>
      </c>
      <c r="D913">
        <f t="shared" ca="1" si="71"/>
        <v>11783.625962586058</v>
      </c>
      <c r="E913">
        <f t="shared" ca="1" si="72"/>
        <v>4179.9055993169059</v>
      </c>
    </row>
    <row r="914" spans="2:5" x14ac:dyDescent="0.2">
      <c r="B914" s="156">
        <f t="shared" si="73"/>
        <v>839</v>
      </c>
      <c r="C914">
        <f t="shared" ca="1" si="70"/>
        <v>13030.54016055976</v>
      </c>
      <c r="D914">
        <f t="shared" ca="1" si="71"/>
        <v>14669.000184014913</v>
      </c>
      <c r="E914">
        <f t="shared" ca="1" si="72"/>
        <v>-1638.4600234551526</v>
      </c>
    </row>
    <row r="915" spans="2:5" x14ac:dyDescent="0.2">
      <c r="B915" s="156">
        <f t="shared" si="73"/>
        <v>840</v>
      </c>
      <c r="C915">
        <f t="shared" ca="1" si="70"/>
        <v>14829.622262081821</v>
      </c>
      <c r="D915">
        <f t="shared" ca="1" si="71"/>
        <v>11326.504173339408</v>
      </c>
      <c r="E915">
        <f t="shared" ca="1" si="72"/>
        <v>3503.1180887424125</v>
      </c>
    </row>
    <row r="916" spans="2:5" x14ac:dyDescent="0.2">
      <c r="B916" s="156">
        <f t="shared" si="73"/>
        <v>841</v>
      </c>
      <c r="C916">
        <f t="shared" ca="1" si="70"/>
        <v>14169.566893140725</v>
      </c>
      <c r="D916">
        <f t="shared" ca="1" si="71"/>
        <v>12075.36744390933</v>
      </c>
      <c r="E916">
        <f t="shared" ca="1" si="72"/>
        <v>2094.1994492313952</v>
      </c>
    </row>
    <row r="917" spans="2:5" x14ac:dyDescent="0.2">
      <c r="B917" s="156">
        <f t="shared" si="73"/>
        <v>842</v>
      </c>
      <c r="C917">
        <f t="shared" ca="1" si="70"/>
        <v>17323.582620974928</v>
      </c>
      <c r="D917">
        <f t="shared" ca="1" si="71"/>
        <v>12185.245472512739</v>
      </c>
      <c r="E917">
        <f t="shared" ca="1" si="72"/>
        <v>5138.3371484621894</v>
      </c>
    </row>
    <row r="918" spans="2:5" x14ac:dyDescent="0.2">
      <c r="B918" s="156">
        <f t="shared" si="73"/>
        <v>843</v>
      </c>
      <c r="C918">
        <f t="shared" ca="1" si="70"/>
        <v>13926.889415592279</v>
      </c>
      <c r="D918">
        <f t="shared" ca="1" si="71"/>
        <v>12112.440374485699</v>
      </c>
      <c r="E918">
        <f t="shared" ca="1" si="72"/>
        <v>1814.4490411065799</v>
      </c>
    </row>
    <row r="919" spans="2:5" x14ac:dyDescent="0.2">
      <c r="B919" s="156">
        <f t="shared" si="73"/>
        <v>844</v>
      </c>
      <c r="C919">
        <f t="shared" ca="1" si="70"/>
        <v>15046.815876630362</v>
      </c>
      <c r="D919">
        <f t="shared" ca="1" si="71"/>
        <v>10393.681270853202</v>
      </c>
      <c r="E919">
        <f t="shared" ca="1" si="72"/>
        <v>4653.1346057771607</v>
      </c>
    </row>
    <row r="920" spans="2:5" x14ac:dyDescent="0.2">
      <c r="B920" s="156">
        <f t="shared" si="73"/>
        <v>845</v>
      </c>
      <c r="C920">
        <f t="shared" ca="1" si="70"/>
        <v>13265.66426368107</v>
      </c>
      <c r="D920">
        <f t="shared" ca="1" si="71"/>
        <v>12805.823053695489</v>
      </c>
      <c r="E920">
        <f t="shared" ca="1" si="72"/>
        <v>459.84120998558137</v>
      </c>
    </row>
    <row r="921" spans="2:5" x14ac:dyDescent="0.2">
      <c r="B921" s="156">
        <f t="shared" si="73"/>
        <v>846</v>
      </c>
      <c r="C921">
        <f t="shared" ca="1" si="70"/>
        <v>14869.256188881678</v>
      </c>
      <c r="D921">
        <f t="shared" ca="1" si="71"/>
        <v>12189.769624850629</v>
      </c>
      <c r="E921">
        <f t="shared" ca="1" si="72"/>
        <v>2679.4865640310491</v>
      </c>
    </row>
    <row r="922" spans="2:5" x14ac:dyDescent="0.2">
      <c r="B922" s="156">
        <f t="shared" si="73"/>
        <v>847</v>
      </c>
      <c r="C922">
        <f t="shared" ca="1" si="70"/>
        <v>13814.501704602111</v>
      </c>
      <c r="D922">
        <f t="shared" ca="1" si="71"/>
        <v>11926.265506096624</v>
      </c>
      <c r="E922">
        <f t="shared" ca="1" si="72"/>
        <v>1888.2361985054868</v>
      </c>
    </row>
    <row r="923" spans="2:5" x14ac:dyDescent="0.2">
      <c r="B923" s="156">
        <f t="shared" si="73"/>
        <v>848</v>
      </c>
      <c r="C923">
        <f t="shared" ca="1" si="70"/>
        <v>14438.398509278715</v>
      </c>
      <c r="D923">
        <f t="shared" ca="1" si="71"/>
        <v>11391.999097499238</v>
      </c>
      <c r="E923">
        <f t="shared" ca="1" si="72"/>
        <v>3046.3994117794773</v>
      </c>
    </row>
    <row r="924" spans="2:5" x14ac:dyDescent="0.2">
      <c r="B924" s="156">
        <f t="shared" si="73"/>
        <v>849</v>
      </c>
      <c r="C924">
        <f t="shared" ca="1" si="70"/>
        <v>13684.995754463436</v>
      </c>
      <c r="D924">
        <f t="shared" ca="1" si="71"/>
        <v>12797.779395097115</v>
      </c>
      <c r="E924">
        <f t="shared" ca="1" si="72"/>
        <v>887.21635936632083</v>
      </c>
    </row>
    <row r="925" spans="2:5" x14ac:dyDescent="0.2">
      <c r="B925" s="156">
        <f t="shared" si="73"/>
        <v>850</v>
      </c>
      <c r="C925">
        <f t="shared" ca="1" si="70"/>
        <v>14147.979587410911</v>
      </c>
      <c r="D925">
        <f t="shared" ca="1" si="71"/>
        <v>10559.678899267257</v>
      </c>
      <c r="E925">
        <f t="shared" ca="1" si="72"/>
        <v>3588.300688143654</v>
      </c>
    </row>
    <row r="926" spans="2:5" x14ac:dyDescent="0.2">
      <c r="B926" s="156">
        <f t="shared" si="73"/>
        <v>851</v>
      </c>
      <c r="C926">
        <f t="shared" ca="1" si="70"/>
        <v>13315.937031878135</v>
      </c>
      <c r="D926">
        <f t="shared" ca="1" si="71"/>
        <v>10734.144076794655</v>
      </c>
      <c r="E926">
        <f t="shared" ca="1" si="72"/>
        <v>2581.7929550834797</v>
      </c>
    </row>
    <row r="927" spans="2:5" x14ac:dyDescent="0.2">
      <c r="B927" s="156">
        <f t="shared" si="73"/>
        <v>852</v>
      </c>
      <c r="C927">
        <f t="shared" ca="1" si="70"/>
        <v>17719.645539193192</v>
      </c>
      <c r="D927">
        <f t="shared" ca="1" si="71"/>
        <v>12775.692139564435</v>
      </c>
      <c r="E927">
        <f t="shared" ca="1" si="72"/>
        <v>4943.9533996287573</v>
      </c>
    </row>
    <row r="928" spans="2:5" x14ac:dyDescent="0.2">
      <c r="B928" s="156">
        <f t="shared" si="73"/>
        <v>853</v>
      </c>
      <c r="C928">
        <f t="shared" ca="1" si="70"/>
        <v>11742.353706211667</v>
      </c>
      <c r="D928">
        <f t="shared" ca="1" si="71"/>
        <v>11148.139251227951</v>
      </c>
      <c r="E928">
        <f t="shared" ca="1" si="72"/>
        <v>594.21445498371577</v>
      </c>
    </row>
    <row r="929" spans="2:5" x14ac:dyDescent="0.2">
      <c r="B929" s="156">
        <f t="shared" si="73"/>
        <v>854</v>
      </c>
      <c r="C929">
        <f t="shared" ca="1" si="70"/>
        <v>15513.850099948908</v>
      </c>
      <c r="D929">
        <f t="shared" ca="1" si="71"/>
        <v>9703.1459555114761</v>
      </c>
      <c r="E929">
        <f t="shared" ca="1" si="72"/>
        <v>5810.7041444374318</v>
      </c>
    </row>
    <row r="930" spans="2:5" x14ac:dyDescent="0.2">
      <c r="B930" s="156">
        <f t="shared" si="73"/>
        <v>855</v>
      </c>
      <c r="C930">
        <f t="shared" ca="1" si="70"/>
        <v>14563.341759348012</v>
      </c>
      <c r="D930">
        <f t="shared" ca="1" si="71"/>
        <v>11479.38194891332</v>
      </c>
      <c r="E930">
        <f t="shared" ca="1" si="72"/>
        <v>3083.9598104346915</v>
      </c>
    </row>
    <row r="931" spans="2:5" x14ac:dyDescent="0.2">
      <c r="B931" s="156">
        <f t="shared" si="73"/>
        <v>856</v>
      </c>
      <c r="C931">
        <f t="shared" ca="1" si="70"/>
        <v>15177.508682853633</v>
      </c>
      <c r="D931">
        <f t="shared" ca="1" si="71"/>
        <v>11053.010435473678</v>
      </c>
      <c r="E931">
        <f t="shared" ca="1" si="72"/>
        <v>4124.4982473799555</v>
      </c>
    </row>
    <row r="932" spans="2:5" x14ac:dyDescent="0.2">
      <c r="B932" s="156">
        <f t="shared" si="73"/>
        <v>857</v>
      </c>
      <c r="C932">
        <f t="shared" ca="1" si="70"/>
        <v>14849.399107548359</v>
      </c>
      <c r="D932">
        <f t="shared" ca="1" si="71"/>
        <v>9973.8374698104308</v>
      </c>
      <c r="E932">
        <f t="shared" ca="1" si="72"/>
        <v>4875.5616377379283</v>
      </c>
    </row>
    <row r="933" spans="2:5" x14ac:dyDescent="0.2">
      <c r="B933" s="156">
        <f t="shared" si="73"/>
        <v>858</v>
      </c>
      <c r="C933">
        <f t="shared" ca="1" si="70"/>
        <v>16604.134976942398</v>
      </c>
      <c r="D933">
        <f t="shared" ca="1" si="71"/>
        <v>14890.935002079952</v>
      </c>
      <c r="E933">
        <f t="shared" ca="1" si="72"/>
        <v>1713.1999748624457</v>
      </c>
    </row>
    <row r="934" spans="2:5" x14ac:dyDescent="0.2">
      <c r="B934" s="156">
        <f t="shared" si="73"/>
        <v>859</v>
      </c>
      <c r="C934">
        <f t="shared" ca="1" si="70"/>
        <v>15516.559448991367</v>
      </c>
      <c r="D934">
        <f t="shared" ca="1" si="71"/>
        <v>9967.5568632340637</v>
      </c>
      <c r="E934">
        <f t="shared" ca="1" si="72"/>
        <v>5549.0025857573037</v>
      </c>
    </row>
    <row r="935" spans="2:5" x14ac:dyDescent="0.2">
      <c r="B935" s="156">
        <f t="shared" si="73"/>
        <v>860</v>
      </c>
      <c r="C935">
        <f t="shared" ca="1" si="70"/>
        <v>14687.532805592031</v>
      </c>
      <c r="D935">
        <f t="shared" ca="1" si="71"/>
        <v>11169.236700031284</v>
      </c>
      <c r="E935">
        <f t="shared" ca="1" si="72"/>
        <v>3518.2961055607466</v>
      </c>
    </row>
    <row r="936" spans="2:5" x14ac:dyDescent="0.2">
      <c r="B936" s="156">
        <f t="shared" si="73"/>
        <v>861</v>
      </c>
      <c r="C936">
        <f t="shared" ca="1" si="70"/>
        <v>14791.242654276539</v>
      </c>
      <c r="D936">
        <f t="shared" ca="1" si="71"/>
        <v>11560.616255691597</v>
      </c>
      <c r="E936">
        <f t="shared" ca="1" si="72"/>
        <v>3230.6263985849419</v>
      </c>
    </row>
    <row r="937" spans="2:5" x14ac:dyDescent="0.2">
      <c r="B937" s="156">
        <f t="shared" si="73"/>
        <v>862</v>
      </c>
      <c r="C937">
        <f t="shared" ca="1" si="70"/>
        <v>13464.649285994677</v>
      </c>
      <c r="D937">
        <f t="shared" ca="1" si="71"/>
        <v>14754.438666382102</v>
      </c>
      <c r="E937">
        <f t="shared" ca="1" si="72"/>
        <v>-1289.7893803874249</v>
      </c>
    </row>
    <row r="938" spans="2:5" x14ac:dyDescent="0.2">
      <c r="B938" s="156">
        <f t="shared" si="73"/>
        <v>863</v>
      </c>
      <c r="C938">
        <f t="shared" ca="1" si="70"/>
        <v>14962.434786251581</v>
      </c>
      <c r="D938">
        <f t="shared" ca="1" si="71"/>
        <v>10793.801302162065</v>
      </c>
      <c r="E938">
        <f t="shared" ca="1" si="72"/>
        <v>4168.6334840895161</v>
      </c>
    </row>
    <row r="939" spans="2:5" x14ac:dyDescent="0.2">
      <c r="B939" s="156">
        <f t="shared" si="73"/>
        <v>864</v>
      </c>
      <c r="C939">
        <f t="shared" ca="1" si="70"/>
        <v>15434.63622757709</v>
      </c>
      <c r="D939">
        <f t="shared" ca="1" si="71"/>
        <v>12239.442139611261</v>
      </c>
      <c r="E939">
        <f t="shared" ca="1" si="72"/>
        <v>3195.1940879658287</v>
      </c>
    </row>
    <row r="940" spans="2:5" x14ac:dyDescent="0.2">
      <c r="B940" s="156">
        <f t="shared" si="73"/>
        <v>865</v>
      </c>
      <c r="C940">
        <f t="shared" ca="1" si="70"/>
        <v>12553.867579392167</v>
      </c>
      <c r="D940">
        <f t="shared" ca="1" si="71"/>
        <v>10279.830837417703</v>
      </c>
      <c r="E940">
        <f t="shared" ca="1" si="72"/>
        <v>2274.0367419744634</v>
      </c>
    </row>
    <row r="941" spans="2:5" x14ac:dyDescent="0.2">
      <c r="B941" s="156">
        <f t="shared" si="73"/>
        <v>866</v>
      </c>
      <c r="C941">
        <f t="shared" ca="1" si="70"/>
        <v>15605.70990885683</v>
      </c>
      <c r="D941">
        <f t="shared" ca="1" si="71"/>
        <v>9719.3344257272129</v>
      </c>
      <c r="E941">
        <f t="shared" ca="1" si="72"/>
        <v>5886.3754831296174</v>
      </c>
    </row>
    <row r="942" spans="2:5" x14ac:dyDescent="0.2">
      <c r="B942" s="156">
        <f t="shared" si="73"/>
        <v>867</v>
      </c>
      <c r="C942">
        <f t="shared" ca="1" si="70"/>
        <v>12977.071076508204</v>
      </c>
      <c r="D942">
        <f t="shared" ca="1" si="71"/>
        <v>9611.1784715251542</v>
      </c>
      <c r="E942">
        <f t="shared" ca="1" si="72"/>
        <v>3365.8926049830498</v>
      </c>
    </row>
    <row r="943" spans="2:5" x14ac:dyDescent="0.2">
      <c r="B943" s="156">
        <f t="shared" si="73"/>
        <v>868</v>
      </c>
      <c r="C943">
        <f t="shared" ca="1" si="70"/>
        <v>12218.989756915002</v>
      </c>
      <c r="D943">
        <f t="shared" ca="1" si="71"/>
        <v>11480.056184929821</v>
      </c>
      <c r="E943">
        <f t="shared" ca="1" si="72"/>
        <v>738.93357198518061</v>
      </c>
    </row>
    <row r="944" spans="2:5" x14ac:dyDescent="0.2">
      <c r="B944" s="156">
        <f t="shared" si="73"/>
        <v>869</v>
      </c>
      <c r="C944">
        <f t="shared" ca="1" si="70"/>
        <v>12949.620625780997</v>
      </c>
      <c r="D944">
        <f t="shared" ca="1" si="71"/>
        <v>11106.832422300326</v>
      </c>
      <c r="E944">
        <f t="shared" ca="1" si="72"/>
        <v>1842.7882034806717</v>
      </c>
    </row>
    <row r="945" spans="2:5" x14ac:dyDescent="0.2">
      <c r="B945" s="156">
        <f t="shared" si="73"/>
        <v>870</v>
      </c>
      <c r="C945">
        <f t="shared" ca="1" si="70"/>
        <v>16648.099757160515</v>
      </c>
      <c r="D945">
        <f t="shared" ca="1" si="71"/>
        <v>11506.60746317994</v>
      </c>
      <c r="E945">
        <f t="shared" ca="1" si="72"/>
        <v>5141.4922939805747</v>
      </c>
    </row>
    <row r="946" spans="2:5" x14ac:dyDescent="0.2">
      <c r="B946" s="156">
        <f t="shared" si="73"/>
        <v>871</v>
      </c>
      <c r="C946">
        <f t="shared" ca="1" si="70"/>
        <v>16665.400252601587</v>
      </c>
      <c r="D946">
        <f t="shared" ca="1" si="71"/>
        <v>13734.261936240768</v>
      </c>
      <c r="E946">
        <f t="shared" ca="1" si="72"/>
        <v>2931.1383163608189</v>
      </c>
    </row>
    <row r="947" spans="2:5" x14ac:dyDescent="0.2">
      <c r="B947" s="156">
        <f t="shared" si="73"/>
        <v>872</v>
      </c>
      <c r="C947">
        <f t="shared" ca="1" si="70"/>
        <v>15295.416126506601</v>
      </c>
      <c r="D947">
        <f t="shared" ca="1" si="71"/>
        <v>14194.376985535904</v>
      </c>
      <c r="E947">
        <f t="shared" ca="1" si="72"/>
        <v>1101.0391409706972</v>
      </c>
    </row>
    <row r="948" spans="2:5" x14ac:dyDescent="0.2">
      <c r="B948" s="156">
        <f t="shared" si="73"/>
        <v>873</v>
      </c>
      <c r="C948">
        <f t="shared" ca="1" si="70"/>
        <v>15046.6999835073</v>
      </c>
      <c r="D948">
        <f t="shared" ca="1" si="71"/>
        <v>13045.783464467788</v>
      </c>
      <c r="E948">
        <f t="shared" ca="1" si="72"/>
        <v>2000.9165190395124</v>
      </c>
    </row>
    <row r="949" spans="2:5" x14ac:dyDescent="0.2">
      <c r="B949" s="156">
        <f t="shared" si="73"/>
        <v>874</v>
      </c>
      <c r="C949">
        <f t="shared" ca="1" si="70"/>
        <v>13966.886196779044</v>
      </c>
      <c r="D949">
        <f t="shared" ca="1" si="71"/>
        <v>12391.379651639849</v>
      </c>
      <c r="E949">
        <f t="shared" ca="1" si="72"/>
        <v>1575.5065451391947</v>
      </c>
    </row>
    <row r="950" spans="2:5" x14ac:dyDescent="0.2">
      <c r="B950" s="156">
        <f t="shared" si="73"/>
        <v>875</v>
      </c>
      <c r="C950">
        <f t="shared" ca="1" si="70"/>
        <v>17854.22584540828</v>
      </c>
      <c r="D950">
        <f t="shared" ca="1" si="71"/>
        <v>12864.17400331446</v>
      </c>
      <c r="E950">
        <f t="shared" ca="1" si="72"/>
        <v>4990.0518420938206</v>
      </c>
    </row>
    <row r="951" spans="2:5" x14ac:dyDescent="0.2">
      <c r="B951" s="156">
        <f t="shared" si="73"/>
        <v>876</v>
      </c>
      <c r="C951">
        <f t="shared" ca="1" si="70"/>
        <v>13150.426159185032</v>
      </c>
      <c r="D951">
        <f t="shared" ca="1" si="71"/>
        <v>11972.613378748483</v>
      </c>
      <c r="E951">
        <f t="shared" ca="1" si="72"/>
        <v>1177.8127804365486</v>
      </c>
    </row>
    <row r="952" spans="2:5" x14ac:dyDescent="0.2">
      <c r="B952" s="156">
        <f t="shared" si="73"/>
        <v>877</v>
      </c>
      <c r="C952">
        <f t="shared" ca="1" si="70"/>
        <v>15370.206284398175</v>
      </c>
      <c r="D952">
        <f t="shared" ca="1" si="71"/>
        <v>12599.253051620346</v>
      </c>
      <c r="E952">
        <f t="shared" ca="1" si="72"/>
        <v>2770.9532327778288</v>
      </c>
    </row>
    <row r="953" spans="2:5" x14ac:dyDescent="0.2">
      <c r="B953" s="156">
        <f t="shared" si="73"/>
        <v>878</v>
      </c>
      <c r="C953">
        <f t="shared" ca="1" si="70"/>
        <v>14578.329933563427</v>
      </c>
      <c r="D953">
        <f t="shared" ca="1" si="71"/>
        <v>12374.027531485561</v>
      </c>
      <c r="E953">
        <f t="shared" ca="1" si="72"/>
        <v>2204.3024020778666</v>
      </c>
    </row>
    <row r="954" spans="2:5" x14ac:dyDescent="0.2">
      <c r="B954" s="156">
        <f t="shared" si="73"/>
        <v>879</v>
      </c>
      <c r="C954">
        <f t="shared" ca="1" si="70"/>
        <v>15136.413784773493</v>
      </c>
      <c r="D954">
        <f t="shared" ca="1" si="71"/>
        <v>9782.4876351163475</v>
      </c>
      <c r="E954">
        <f t="shared" ca="1" si="72"/>
        <v>5353.9261496571453</v>
      </c>
    </row>
    <row r="955" spans="2:5" x14ac:dyDescent="0.2">
      <c r="B955" s="156">
        <f t="shared" si="73"/>
        <v>880</v>
      </c>
      <c r="C955">
        <f t="shared" ca="1" si="70"/>
        <v>13936.817005739666</v>
      </c>
      <c r="D955">
        <f t="shared" ca="1" si="71"/>
        <v>10238.412335363975</v>
      </c>
      <c r="E955">
        <f t="shared" ca="1" si="72"/>
        <v>3698.4046703756903</v>
      </c>
    </row>
    <row r="956" spans="2:5" x14ac:dyDescent="0.2">
      <c r="B956" s="156">
        <f t="shared" si="73"/>
        <v>881</v>
      </c>
      <c r="C956">
        <f t="shared" ca="1" si="70"/>
        <v>15577.783312517055</v>
      </c>
      <c r="D956">
        <f t="shared" ca="1" si="71"/>
        <v>10452.800819745769</v>
      </c>
      <c r="E956">
        <f t="shared" ca="1" si="72"/>
        <v>5124.9824927712853</v>
      </c>
    </row>
    <row r="957" spans="2:5" x14ac:dyDescent="0.2">
      <c r="B957" s="156">
        <f t="shared" si="73"/>
        <v>882</v>
      </c>
      <c r="C957">
        <f t="shared" ca="1" si="70"/>
        <v>13757.42740976855</v>
      </c>
      <c r="D957">
        <f t="shared" ca="1" si="71"/>
        <v>11575.738328610794</v>
      </c>
      <c r="E957">
        <f t="shared" ca="1" si="72"/>
        <v>2181.6890811577559</v>
      </c>
    </row>
    <row r="958" spans="2:5" x14ac:dyDescent="0.2">
      <c r="B958" s="156">
        <f t="shared" si="73"/>
        <v>883</v>
      </c>
      <c r="C958">
        <f t="shared" ca="1" si="70"/>
        <v>15181.203866505653</v>
      </c>
      <c r="D958">
        <f t="shared" ca="1" si="71"/>
        <v>11443.974259908087</v>
      </c>
      <c r="E958">
        <f t="shared" ca="1" si="72"/>
        <v>3737.2296065975661</v>
      </c>
    </row>
    <row r="959" spans="2:5" x14ac:dyDescent="0.2">
      <c r="B959" s="156">
        <f t="shared" si="73"/>
        <v>884</v>
      </c>
      <c r="C959">
        <f t="shared" ca="1" si="70"/>
        <v>15388.995488272238</v>
      </c>
      <c r="D959">
        <f t="shared" ca="1" si="71"/>
        <v>11632.560437389524</v>
      </c>
      <c r="E959">
        <f t="shared" ca="1" si="72"/>
        <v>3756.4350508827138</v>
      </c>
    </row>
    <row r="960" spans="2:5" x14ac:dyDescent="0.2">
      <c r="B960" s="156">
        <f t="shared" si="73"/>
        <v>885</v>
      </c>
      <c r="C960">
        <f t="shared" ca="1" si="70"/>
        <v>16421.446980635414</v>
      </c>
      <c r="D960">
        <f t="shared" ca="1" si="71"/>
        <v>12224.024673874528</v>
      </c>
      <c r="E960">
        <f t="shared" ca="1" si="72"/>
        <v>4197.4223067608855</v>
      </c>
    </row>
    <row r="961" spans="2:5" x14ac:dyDescent="0.2">
      <c r="B961" s="156">
        <f t="shared" si="73"/>
        <v>886</v>
      </c>
      <c r="C961">
        <f t="shared" ca="1" si="70"/>
        <v>14704.468611495426</v>
      </c>
      <c r="D961">
        <f t="shared" ca="1" si="71"/>
        <v>11309.062667061835</v>
      </c>
      <c r="E961">
        <f t="shared" ca="1" si="72"/>
        <v>3395.4059444335908</v>
      </c>
    </row>
    <row r="962" spans="2:5" x14ac:dyDescent="0.2">
      <c r="B962" s="156">
        <f t="shared" si="73"/>
        <v>887</v>
      </c>
      <c r="C962">
        <f t="shared" ca="1" si="70"/>
        <v>12641.553813186852</v>
      </c>
      <c r="D962">
        <f t="shared" ca="1" si="71"/>
        <v>13808.765524629724</v>
      </c>
      <c r="E962">
        <f t="shared" ca="1" si="72"/>
        <v>-1167.2117114428711</v>
      </c>
    </row>
    <row r="963" spans="2:5" x14ac:dyDescent="0.2">
      <c r="B963" s="156">
        <f t="shared" si="73"/>
        <v>888</v>
      </c>
      <c r="C963">
        <f t="shared" ca="1" si="70"/>
        <v>16808.036563049889</v>
      </c>
      <c r="D963">
        <f t="shared" ca="1" si="71"/>
        <v>9273.624939693249</v>
      </c>
      <c r="E963">
        <f t="shared" ca="1" si="72"/>
        <v>7534.4116233566401</v>
      </c>
    </row>
    <row r="964" spans="2:5" x14ac:dyDescent="0.2">
      <c r="B964" s="156">
        <f t="shared" si="73"/>
        <v>889</v>
      </c>
      <c r="C964">
        <f t="shared" ca="1" si="70"/>
        <v>13941.203581738682</v>
      </c>
      <c r="D964">
        <f t="shared" ca="1" si="71"/>
        <v>12339.812232249114</v>
      </c>
      <c r="E964">
        <f t="shared" ca="1" si="72"/>
        <v>1601.3913494895678</v>
      </c>
    </row>
    <row r="965" spans="2:5" x14ac:dyDescent="0.2">
      <c r="B965" s="156">
        <f t="shared" si="73"/>
        <v>890</v>
      </c>
      <c r="C965">
        <f t="shared" ca="1" si="70"/>
        <v>17539.124530274428</v>
      </c>
      <c r="D965">
        <f t="shared" ca="1" si="71"/>
        <v>12589.656446655124</v>
      </c>
      <c r="E965">
        <f t="shared" ca="1" si="72"/>
        <v>4949.4680836193038</v>
      </c>
    </row>
    <row r="966" spans="2:5" x14ac:dyDescent="0.2">
      <c r="B966" s="156">
        <f t="shared" si="73"/>
        <v>891</v>
      </c>
      <c r="C966">
        <f t="shared" ca="1" si="70"/>
        <v>15109.140219901874</v>
      </c>
      <c r="D966">
        <f t="shared" ca="1" si="71"/>
        <v>13098.785275870425</v>
      </c>
      <c r="E966">
        <f t="shared" ca="1" si="72"/>
        <v>2010.3549440314491</v>
      </c>
    </row>
    <row r="967" spans="2:5" x14ac:dyDescent="0.2">
      <c r="B967" s="156">
        <f t="shared" si="73"/>
        <v>892</v>
      </c>
      <c r="C967">
        <f t="shared" ca="1" si="70"/>
        <v>15504.09111422408</v>
      </c>
      <c r="D967">
        <f t="shared" ca="1" si="71"/>
        <v>12514.455893606886</v>
      </c>
      <c r="E967">
        <f t="shared" ca="1" si="72"/>
        <v>2989.6352206171941</v>
      </c>
    </row>
    <row r="968" spans="2:5" x14ac:dyDescent="0.2">
      <c r="B968" s="156">
        <f t="shared" si="73"/>
        <v>893</v>
      </c>
      <c r="C968">
        <f t="shared" ca="1" si="70"/>
        <v>13192.596244894788</v>
      </c>
      <c r="D968">
        <f t="shared" ca="1" si="71"/>
        <v>13537.776025556685</v>
      </c>
      <c r="E968">
        <f t="shared" ca="1" si="72"/>
        <v>-345.17978066189607</v>
      </c>
    </row>
    <row r="969" spans="2:5" x14ac:dyDescent="0.2">
      <c r="B969" s="156">
        <f t="shared" si="73"/>
        <v>894</v>
      </c>
      <c r="C969">
        <f t="shared" ca="1" si="70"/>
        <v>15157.271566644484</v>
      </c>
      <c r="D969">
        <f t="shared" ca="1" si="71"/>
        <v>12722.333183860675</v>
      </c>
      <c r="E969">
        <f t="shared" ca="1" si="72"/>
        <v>2434.9383827838083</v>
      </c>
    </row>
    <row r="970" spans="2:5" x14ac:dyDescent="0.2">
      <c r="B970" s="156">
        <f t="shared" si="73"/>
        <v>895</v>
      </c>
      <c r="C970">
        <f t="shared" ca="1" si="70"/>
        <v>14388.080516873279</v>
      </c>
      <c r="D970">
        <f t="shared" ca="1" si="71"/>
        <v>10791.173806588551</v>
      </c>
      <c r="E970">
        <f t="shared" ca="1" si="72"/>
        <v>3596.9067102847275</v>
      </c>
    </row>
    <row r="971" spans="2:5" x14ac:dyDescent="0.2">
      <c r="B971" s="156">
        <f t="shared" si="73"/>
        <v>896</v>
      </c>
      <c r="C971">
        <f t="shared" ca="1" si="70"/>
        <v>14111.593825322519</v>
      </c>
      <c r="D971">
        <f t="shared" ca="1" si="71"/>
        <v>11924.416959382603</v>
      </c>
      <c r="E971">
        <f t="shared" ca="1" si="72"/>
        <v>2187.1768659399168</v>
      </c>
    </row>
    <row r="972" spans="2:5" x14ac:dyDescent="0.2">
      <c r="B972" s="156">
        <f t="shared" si="73"/>
        <v>897</v>
      </c>
      <c r="C972">
        <f t="shared" ca="1" si="70"/>
        <v>14493.948287512121</v>
      </c>
      <c r="D972">
        <f t="shared" ca="1" si="71"/>
        <v>10695.656344819301</v>
      </c>
      <c r="E972">
        <f t="shared" ca="1" si="72"/>
        <v>3798.2919426928202</v>
      </c>
    </row>
    <row r="973" spans="2:5" x14ac:dyDescent="0.2">
      <c r="B973" s="156">
        <f t="shared" si="73"/>
        <v>898</v>
      </c>
      <c r="C973">
        <f t="shared" ref="C973:C1036" ca="1" si="74">$C$70*(1+_xlfn.NORM.S.INV(RAND())*$C$72)</f>
        <v>15892.6023497156</v>
      </c>
      <c r="D973">
        <f t="shared" ref="D973:D1036" ca="1" si="75">$C$71*(1+_xlfn.NORM.S.INV(RAND())*$C$73)</f>
        <v>11378.509300312406</v>
      </c>
      <c r="E973">
        <f t="shared" ref="E973:E1036" ca="1" si="76">C973-D973</f>
        <v>4514.0930494031945</v>
      </c>
    </row>
    <row r="974" spans="2:5" x14ac:dyDescent="0.2">
      <c r="B974" s="156">
        <f t="shared" ref="B974:B1037" si="77">B973+1</f>
        <v>899</v>
      </c>
      <c r="C974">
        <f t="shared" ca="1" si="74"/>
        <v>14639.32606688431</v>
      </c>
      <c r="D974">
        <f t="shared" ca="1" si="75"/>
        <v>11569.105828611002</v>
      </c>
      <c r="E974">
        <f t="shared" ca="1" si="76"/>
        <v>3070.2202382733085</v>
      </c>
    </row>
    <row r="975" spans="2:5" x14ac:dyDescent="0.2">
      <c r="B975" s="156">
        <f t="shared" si="77"/>
        <v>900</v>
      </c>
      <c r="C975">
        <f t="shared" ca="1" si="74"/>
        <v>15531.894953474017</v>
      </c>
      <c r="D975">
        <f t="shared" ca="1" si="75"/>
        <v>9930.0472675276105</v>
      </c>
      <c r="E975">
        <f t="shared" ca="1" si="76"/>
        <v>5601.8476859464063</v>
      </c>
    </row>
    <row r="976" spans="2:5" x14ac:dyDescent="0.2">
      <c r="B976" s="156">
        <f t="shared" si="77"/>
        <v>901</v>
      </c>
      <c r="C976">
        <f t="shared" ca="1" si="74"/>
        <v>13099.742201749381</v>
      </c>
      <c r="D976">
        <f t="shared" ca="1" si="75"/>
        <v>13060.233233897459</v>
      </c>
      <c r="E976">
        <f t="shared" ca="1" si="76"/>
        <v>39.508967851921625</v>
      </c>
    </row>
    <row r="977" spans="2:5" x14ac:dyDescent="0.2">
      <c r="B977" s="156">
        <f t="shared" si="77"/>
        <v>902</v>
      </c>
      <c r="C977">
        <f t="shared" ca="1" si="74"/>
        <v>14784.020005007193</v>
      </c>
      <c r="D977">
        <f t="shared" ca="1" si="75"/>
        <v>13432.891223831186</v>
      </c>
      <c r="E977">
        <f t="shared" ca="1" si="76"/>
        <v>1351.1287811760067</v>
      </c>
    </row>
    <row r="978" spans="2:5" x14ac:dyDescent="0.2">
      <c r="B978" s="156">
        <f t="shared" si="77"/>
        <v>903</v>
      </c>
      <c r="C978">
        <f t="shared" ca="1" si="74"/>
        <v>13568.347974317598</v>
      </c>
      <c r="D978">
        <f t="shared" ca="1" si="75"/>
        <v>11204.611139911995</v>
      </c>
      <c r="E978">
        <f t="shared" ca="1" si="76"/>
        <v>2363.7368344056031</v>
      </c>
    </row>
    <row r="979" spans="2:5" x14ac:dyDescent="0.2">
      <c r="B979" s="156">
        <f t="shared" si="77"/>
        <v>904</v>
      </c>
      <c r="C979">
        <f t="shared" ca="1" si="74"/>
        <v>14451.011264680004</v>
      </c>
      <c r="D979">
        <f t="shared" ca="1" si="75"/>
        <v>11594.47802318836</v>
      </c>
      <c r="E979">
        <f t="shared" ca="1" si="76"/>
        <v>2856.5332414916447</v>
      </c>
    </row>
    <row r="980" spans="2:5" x14ac:dyDescent="0.2">
      <c r="B980" s="156">
        <f t="shared" si="77"/>
        <v>905</v>
      </c>
      <c r="C980">
        <f t="shared" ca="1" si="74"/>
        <v>17790.359723590827</v>
      </c>
      <c r="D980">
        <f t="shared" ca="1" si="75"/>
        <v>14281.081638787515</v>
      </c>
      <c r="E980">
        <f t="shared" ca="1" si="76"/>
        <v>3509.2780848033126</v>
      </c>
    </row>
    <row r="981" spans="2:5" x14ac:dyDescent="0.2">
      <c r="B981" s="156">
        <f t="shared" si="77"/>
        <v>906</v>
      </c>
      <c r="C981">
        <f t="shared" ca="1" si="74"/>
        <v>15129.723411123507</v>
      </c>
      <c r="D981">
        <f t="shared" ca="1" si="75"/>
        <v>12816.09030097024</v>
      </c>
      <c r="E981">
        <f t="shared" ca="1" si="76"/>
        <v>2313.6331101532669</v>
      </c>
    </row>
    <row r="982" spans="2:5" x14ac:dyDescent="0.2">
      <c r="B982" s="156">
        <f t="shared" si="77"/>
        <v>907</v>
      </c>
      <c r="C982">
        <f t="shared" ca="1" si="74"/>
        <v>13813.092778813419</v>
      </c>
      <c r="D982">
        <f t="shared" ca="1" si="75"/>
        <v>12381.639865113681</v>
      </c>
      <c r="E982">
        <f t="shared" ca="1" si="76"/>
        <v>1431.4529136997389</v>
      </c>
    </row>
    <row r="983" spans="2:5" x14ac:dyDescent="0.2">
      <c r="B983" s="156">
        <f t="shared" si="77"/>
        <v>908</v>
      </c>
      <c r="C983">
        <f t="shared" ca="1" si="74"/>
        <v>14751.745865824438</v>
      </c>
      <c r="D983">
        <f t="shared" ca="1" si="75"/>
        <v>12417.225386135779</v>
      </c>
      <c r="E983">
        <f t="shared" ca="1" si="76"/>
        <v>2334.5204796886592</v>
      </c>
    </row>
    <row r="984" spans="2:5" x14ac:dyDescent="0.2">
      <c r="B984" s="156">
        <f t="shared" si="77"/>
        <v>909</v>
      </c>
      <c r="C984">
        <f t="shared" ca="1" si="74"/>
        <v>15314.507342291159</v>
      </c>
      <c r="D984">
        <f t="shared" ca="1" si="75"/>
        <v>11588.657964900147</v>
      </c>
      <c r="E984">
        <f t="shared" ca="1" si="76"/>
        <v>3725.8493773910122</v>
      </c>
    </row>
    <row r="985" spans="2:5" x14ac:dyDescent="0.2">
      <c r="B985" s="156">
        <f t="shared" si="77"/>
        <v>910</v>
      </c>
      <c r="C985">
        <f t="shared" ca="1" si="74"/>
        <v>16005.51529423761</v>
      </c>
      <c r="D985">
        <f t="shared" ca="1" si="75"/>
        <v>13850.142647540262</v>
      </c>
      <c r="E985">
        <f t="shared" ca="1" si="76"/>
        <v>2155.3726466973476</v>
      </c>
    </row>
    <row r="986" spans="2:5" x14ac:dyDescent="0.2">
      <c r="B986" s="156">
        <f t="shared" si="77"/>
        <v>911</v>
      </c>
      <c r="C986">
        <f t="shared" ca="1" si="74"/>
        <v>12982.311426498329</v>
      </c>
      <c r="D986">
        <f t="shared" ca="1" si="75"/>
        <v>13571.80295122697</v>
      </c>
      <c r="E986">
        <f t="shared" ca="1" si="76"/>
        <v>-589.4915247286408</v>
      </c>
    </row>
    <row r="987" spans="2:5" x14ac:dyDescent="0.2">
      <c r="B987" s="156">
        <f t="shared" si="77"/>
        <v>912</v>
      </c>
      <c r="C987">
        <f t="shared" ca="1" si="74"/>
        <v>12002.389089322896</v>
      </c>
      <c r="D987">
        <f t="shared" ca="1" si="75"/>
        <v>10210.177978006361</v>
      </c>
      <c r="E987">
        <f t="shared" ca="1" si="76"/>
        <v>1792.2111113165356</v>
      </c>
    </row>
    <row r="988" spans="2:5" x14ac:dyDescent="0.2">
      <c r="B988" s="156">
        <f t="shared" si="77"/>
        <v>913</v>
      </c>
      <c r="C988">
        <f t="shared" ca="1" si="74"/>
        <v>15030.739244096259</v>
      </c>
      <c r="D988">
        <f t="shared" ca="1" si="75"/>
        <v>12118.629565638967</v>
      </c>
      <c r="E988">
        <f t="shared" ca="1" si="76"/>
        <v>2912.1096784572928</v>
      </c>
    </row>
    <row r="989" spans="2:5" x14ac:dyDescent="0.2">
      <c r="B989" s="156">
        <f t="shared" si="77"/>
        <v>914</v>
      </c>
      <c r="C989">
        <f t="shared" ca="1" si="74"/>
        <v>13994.874319600869</v>
      </c>
      <c r="D989">
        <f t="shared" ca="1" si="75"/>
        <v>12499.902975381036</v>
      </c>
      <c r="E989">
        <f t="shared" ca="1" si="76"/>
        <v>1494.9713442198336</v>
      </c>
    </row>
    <row r="990" spans="2:5" x14ac:dyDescent="0.2">
      <c r="B990" s="156">
        <f t="shared" si="77"/>
        <v>915</v>
      </c>
      <c r="C990">
        <f t="shared" ca="1" si="74"/>
        <v>14196.939803931042</v>
      </c>
      <c r="D990">
        <f t="shared" ca="1" si="75"/>
        <v>11932.409564002281</v>
      </c>
      <c r="E990">
        <f t="shared" ca="1" si="76"/>
        <v>2264.5302399287611</v>
      </c>
    </row>
    <row r="991" spans="2:5" x14ac:dyDescent="0.2">
      <c r="B991" s="156">
        <f t="shared" si="77"/>
        <v>916</v>
      </c>
      <c r="C991">
        <f t="shared" ca="1" si="74"/>
        <v>16725.244841357086</v>
      </c>
      <c r="D991">
        <f t="shared" ca="1" si="75"/>
        <v>10151.116861836701</v>
      </c>
      <c r="E991">
        <f t="shared" ca="1" si="76"/>
        <v>6574.1279795203845</v>
      </c>
    </row>
    <row r="992" spans="2:5" x14ac:dyDescent="0.2">
      <c r="B992" s="156">
        <f t="shared" si="77"/>
        <v>917</v>
      </c>
      <c r="C992">
        <f t="shared" ca="1" si="74"/>
        <v>13730.927179826131</v>
      </c>
      <c r="D992">
        <f t="shared" ca="1" si="75"/>
        <v>13986.65456767039</v>
      </c>
      <c r="E992">
        <f t="shared" ca="1" si="76"/>
        <v>-255.72738784425928</v>
      </c>
    </row>
    <row r="993" spans="2:5" x14ac:dyDescent="0.2">
      <c r="B993" s="156">
        <f t="shared" si="77"/>
        <v>918</v>
      </c>
      <c r="C993">
        <f t="shared" ca="1" si="74"/>
        <v>16468.885155542877</v>
      </c>
      <c r="D993">
        <f t="shared" ca="1" si="75"/>
        <v>10819.181917411293</v>
      </c>
      <c r="E993">
        <f t="shared" ca="1" si="76"/>
        <v>5649.7032381315839</v>
      </c>
    </row>
    <row r="994" spans="2:5" x14ac:dyDescent="0.2">
      <c r="B994" s="156">
        <f t="shared" si="77"/>
        <v>919</v>
      </c>
      <c r="C994">
        <f t="shared" ca="1" si="74"/>
        <v>15309.658252572037</v>
      </c>
      <c r="D994">
        <f t="shared" ca="1" si="75"/>
        <v>12456.78845705407</v>
      </c>
      <c r="E994">
        <f t="shared" ca="1" si="76"/>
        <v>2852.8697955179668</v>
      </c>
    </row>
    <row r="995" spans="2:5" x14ac:dyDescent="0.2">
      <c r="B995" s="156">
        <f t="shared" si="77"/>
        <v>920</v>
      </c>
      <c r="C995">
        <f t="shared" ca="1" si="74"/>
        <v>17669.752530069094</v>
      </c>
      <c r="D995">
        <f t="shared" ca="1" si="75"/>
        <v>10887.675256698371</v>
      </c>
      <c r="E995">
        <f t="shared" ca="1" si="76"/>
        <v>6782.0772733707236</v>
      </c>
    </row>
    <row r="996" spans="2:5" x14ac:dyDescent="0.2">
      <c r="B996" s="156">
        <f t="shared" si="77"/>
        <v>921</v>
      </c>
      <c r="C996">
        <f t="shared" ca="1" si="74"/>
        <v>16623.814879582442</v>
      </c>
      <c r="D996">
        <f t="shared" ca="1" si="75"/>
        <v>11690.463740964755</v>
      </c>
      <c r="E996">
        <f t="shared" ca="1" si="76"/>
        <v>4933.351138617687</v>
      </c>
    </row>
    <row r="997" spans="2:5" x14ac:dyDescent="0.2">
      <c r="B997" s="156">
        <f t="shared" si="77"/>
        <v>922</v>
      </c>
      <c r="C997">
        <f t="shared" ca="1" si="74"/>
        <v>11869.821106117115</v>
      </c>
      <c r="D997">
        <f t="shared" ca="1" si="75"/>
        <v>10960.875539064631</v>
      </c>
      <c r="E997">
        <f t="shared" ca="1" si="76"/>
        <v>908.94556705248397</v>
      </c>
    </row>
    <row r="998" spans="2:5" x14ac:dyDescent="0.2">
      <c r="B998" s="156">
        <f t="shared" si="77"/>
        <v>923</v>
      </c>
      <c r="C998">
        <f t="shared" ca="1" si="74"/>
        <v>14772.656363549951</v>
      </c>
      <c r="D998">
        <f t="shared" ca="1" si="75"/>
        <v>13318.144553265265</v>
      </c>
      <c r="E998">
        <f t="shared" ca="1" si="76"/>
        <v>1454.5118102846864</v>
      </c>
    </row>
    <row r="999" spans="2:5" x14ac:dyDescent="0.2">
      <c r="B999" s="156">
        <f t="shared" si="77"/>
        <v>924</v>
      </c>
      <c r="C999">
        <f t="shared" ca="1" si="74"/>
        <v>13216.932828710944</v>
      </c>
      <c r="D999">
        <f t="shared" ca="1" si="75"/>
        <v>12066.361644063927</v>
      </c>
      <c r="E999">
        <f t="shared" ca="1" si="76"/>
        <v>1150.5711846470167</v>
      </c>
    </row>
    <row r="1000" spans="2:5" x14ac:dyDescent="0.2">
      <c r="B1000" s="156">
        <f t="shared" si="77"/>
        <v>925</v>
      </c>
      <c r="C1000">
        <f t="shared" ca="1" si="74"/>
        <v>12521.372944933828</v>
      </c>
      <c r="D1000">
        <f t="shared" ca="1" si="75"/>
        <v>11970.183783707014</v>
      </c>
      <c r="E1000">
        <f t="shared" ca="1" si="76"/>
        <v>551.18916122681367</v>
      </c>
    </row>
    <row r="1001" spans="2:5" x14ac:dyDescent="0.2">
      <c r="B1001" s="156">
        <f t="shared" si="77"/>
        <v>926</v>
      </c>
      <c r="C1001">
        <f t="shared" ca="1" si="74"/>
        <v>14004.58056841598</v>
      </c>
      <c r="D1001">
        <f t="shared" ca="1" si="75"/>
        <v>13190.834633665834</v>
      </c>
      <c r="E1001">
        <f t="shared" ca="1" si="76"/>
        <v>813.74593475014626</v>
      </c>
    </row>
    <row r="1002" spans="2:5" x14ac:dyDescent="0.2">
      <c r="B1002" s="156">
        <f t="shared" si="77"/>
        <v>927</v>
      </c>
      <c r="C1002">
        <f t="shared" ca="1" si="74"/>
        <v>14317.819339680005</v>
      </c>
      <c r="D1002">
        <f t="shared" ca="1" si="75"/>
        <v>11352.527959817573</v>
      </c>
      <c r="E1002">
        <f t="shared" ca="1" si="76"/>
        <v>2965.2913798624322</v>
      </c>
    </row>
    <row r="1003" spans="2:5" x14ac:dyDescent="0.2">
      <c r="B1003" s="156">
        <f t="shared" si="77"/>
        <v>928</v>
      </c>
      <c r="C1003">
        <f t="shared" ca="1" si="74"/>
        <v>14316.371024751699</v>
      </c>
      <c r="D1003">
        <f t="shared" ca="1" si="75"/>
        <v>14011.281012165913</v>
      </c>
      <c r="E1003">
        <f t="shared" ca="1" si="76"/>
        <v>305.0900125857861</v>
      </c>
    </row>
    <row r="1004" spans="2:5" x14ac:dyDescent="0.2">
      <c r="B1004" s="156">
        <f t="shared" si="77"/>
        <v>929</v>
      </c>
      <c r="C1004">
        <f t="shared" ca="1" si="74"/>
        <v>12653.615287171138</v>
      </c>
      <c r="D1004">
        <f t="shared" ca="1" si="75"/>
        <v>12227.502241603263</v>
      </c>
      <c r="E1004">
        <f t="shared" ca="1" si="76"/>
        <v>426.11304556787582</v>
      </c>
    </row>
    <row r="1005" spans="2:5" x14ac:dyDescent="0.2">
      <c r="B1005" s="156">
        <f t="shared" si="77"/>
        <v>930</v>
      </c>
      <c r="C1005">
        <f t="shared" ca="1" si="74"/>
        <v>15793.141828196689</v>
      </c>
      <c r="D1005">
        <f t="shared" ca="1" si="75"/>
        <v>11340.667576727445</v>
      </c>
      <c r="E1005">
        <f t="shared" ca="1" si="76"/>
        <v>4452.4742514692443</v>
      </c>
    </row>
    <row r="1006" spans="2:5" x14ac:dyDescent="0.2">
      <c r="B1006" s="156">
        <f t="shared" si="77"/>
        <v>931</v>
      </c>
      <c r="C1006">
        <f t="shared" ca="1" si="74"/>
        <v>12600.534176173409</v>
      </c>
      <c r="D1006">
        <f t="shared" ca="1" si="75"/>
        <v>11924.712202051889</v>
      </c>
      <c r="E1006">
        <f t="shared" ca="1" si="76"/>
        <v>675.82197412151982</v>
      </c>
    </row>
    <row r="1007" spans="2:5" x14ac:dyDescent="0.2">
      <c r="B1007" s="156">
        <f t="shared" si="77"/>
        <v>932</v>
      </c>
      <c r="C1007">
        <f t="shared" ca="1" si="74"/>
        <v>16164.882230625857</v>
      </c>
      <c r="D1007">
        <f t="shared" ca="1" si="75"/>
        <v>11461.692737244504</v>
      </c>
      <c r="E1007">
        <f t="shared" ca="1" si="76"/>
        <v>4703.1894933813528</v>
      </c>
    </row>
    <row r="1008" spans="2:5" x14ac:dyDescent="0.2">
      <c r="B1008" s="156">
        <f t="shared" si="77"/>
        <v>933</v>
      </c>
      <c r="C1008">
        <f t="shared" ca="1" si="74"/>
        <v>14643.514620798442</v>
      </c>
      <c r="D1008">
        <f t="shared" ca="1" si="75"/>
        <v>12496.952704002664</v>
      </c>
      <c r="E1008">
        <f t="shared" ca="1" si="76"/>
        <v>2146.5619167957775</v>
      </c>
    </row>
    <row r="1009" spans="2:5" x14ac:dyDescent="0.2">
      <c r="B1009" s="156">
        <f t="shared" si="77"/>
        <v>934</v>
      </c>
      <c r="C1009">
        <f t="shared" ca="1" si="74"/>
        <v>14281.36500257536</v>
      </c>
      <c r="D1009">
        <f t="shared" ca="1" si="75"/>
        <v>11060.884672337488</v>
      </c>
      <c r="E1009">
        <f t="shared" ca="1" si="76"/>
        <v>3220.4803302378714</v>
      </c>
    </row>
    <row r="1010" spans="2:5" x14ac:dyDescent="0.2">
      <c r="B1010" s="156">
        <f t="shared" si="77"/>
        <v>935</v>
      </c>
      <c r="C1010">
        <f t="shared" ca="1" si="74"/>
        <v>14439.496880864024</v>
      </c>
      <c r="D1010">
        <f t="shared" ca="1" si="75"/>
        <v>13730.284063774427</v>
      </c>
      <c r="E1010">
        <f t="shared" ca="1" si="76"/>
        <v>709.21281708959759</v>
      </c>
    </row>
    <row r="1011" spans="2:5" x14ac:dyDescent="0.2">
      <c r="B1011" s="156">
        <f t="shared" si="77"/>
        <v>936</v>
      </c>
      <c r="C1011">
        <f t="shared" ca="1" si="74"/>
        <v>13040.269609687602</v>
      </c>
      <c r="D1011">
        <f t="shared" ca="1" si="75"/>
        <v>12019.144344658936</v>
      </c>
      <c r="E1011">
        <f t="shared" ca="1" si="76"/>
        <v>1021.125265028666</v>
      </c>
    </row>
    <row r="1012" spans="2:5" x14ac:dyDescent="0.2">
      <c r="B1012" s="156">
        <f t="shared" si="77"/>
        <v>937</v>
      </c>
      <c r="C1012">
        <f t="shared" ca="1" si="74"/>
        <v>14792.129273494354</v>
      </c>
      <c r="D1012">
        <f t="shared" ca="1" si="75"/>
        <v>11491.631044844522</v>
      </c>
      <c r="E1012">
        <f t="shared" ca="1" si="76"/>
        <v>3300.4982286498325</v>
      </c>
    </row>
    <row r="1013" spans="2:5" x14ac:dyDescent="0.2">
      <c r="B1013" s="156">
        <f t="shared" si="77"/>
        <v>938</v>
      </c>
      <c r="C1013">
        <f t="shared" ca="1" si="74"/>
        <v>13616.701036794233</v>
      </c>
      <c r="D1013">
        <f t="shared" ca="1" si="75"/>
        <v>11301.529223367865</v>
      </c>
      <c r="E1013">
        <f t="shared" ca="1" si="76"/>
        <v>2315.1718134263683</v>
      </c>
    </row>
    <row r="1014" spans="2:5" x14ac:dyDescent="0.2">
      <c r="B1014" s="156">
        <f t="shared" si="77"/>
        <v>939</v>
      </c>
      <c r="C1014">
        <f t="shared" ca="1" si="74"/>
        <v>12726.165301777175</v>
      </c>
      <c r="D1014">
        <f t="shared" ca="1" si="75"/>
        <v>14382.807146511388</v>
      </c>
      <c r="E1014">
        <f t="shared" ca="1" si="76"/>
        <v>-1656.641844734213</v>
      </c>
    </row>
    <row r="1015" spans="2:5" x14ac:dyDescent="0.2">
      <c r="B1015" s="156">
        <f t="shared" si="77"/>
        <v>940</v>
      </c>
      <c r="C1015">
        <f t="shared" ca="1" si="74"/>
        <v>14850.211445850669</v>
      </c>
      <c r="D1015">
        <f t="shared" ca="1" si="75"/>
        <v>11609.617360923037</v>
      </c>
      <c r="E1015">
        <f t="shared" ca="1" si="76"/>
        <v>3240.5940849276321</v>
      </c>
    </row>
    <row r="1016" spans="2:5" x14ac:dyDescent="0.2">
      <c r="B1016" s="156">
        <f t="shared" si="77"/>
        <v>941</v>
      </c>
      <c r="C1016">
        <f t="shared" ca="1" si="74"/>
        <v>11299.270687654449</v>
      </c>
      <c r="D1016">
        <f t="shared" ca="1" si="75"/>
        <v>13857.536236170576</v>
      </c>
      <c r="E1016">
        <f t="shared" ca="1" si="76"/>
        <v>-2558.2655485161267</v>
      </c>
    </row>
    <row r="1017" spans="2:5" x14ac:dyDescent="0.2">
      <c r="B1017" s="156">
        <f t="shared" si="77"/>
        <v>942</v>
      </c>
      <c r="C1017">
        <f t="shared" ca="1" si="74"/>
        <v>15101.057952236733</v>
      </c>
      <c r="D1017">
        <f t="shared" ca="1" si="75"/>
        <v>12246.819859654457</v>
      </c>
      <c r="E1017">
        <f t="shared" ca="1" si="76"/>
        <v>2854.2380925822763</v>
      </c>
    </row>
    <row r="1018" spans="2:5" x14ac:dyDescent="0.2">
      <c r="B1018" s="156">
        <f t="shared" si="77"/>
        <v>943</v>
      </c>
      <c r="C1018">
        <f t="shared" ca="1" si="74"/>
        <v>11219.85856013093</v>
      </c>
      <c r="D1018">
        <f t="shared" ca="1" si="75"/>
        <v>12617.962680419883</v>
      </c>
      <c r="E1018">
        <f t="shared" ca="1" si="76"/>
        <v>-1398.1041202889537</v>
      </c>
    </row>
    <row r="1019" spans="2:5" x14ac:dyDescent="0.2">
      <c r="B1019" s="156">
        <f t="shared" si="77"/>
        <v>944</v>
      </c>
      <c r="C1019">
        <f t="shared" ca="1" si="74"/>
        <v>14773.398222855491</v>
      </c>
      <c r="D1019">
        <f t="shared" ca="1" si="75"/>
        <v>12955.767748508028</v>
      </c>
      <c r="E1019">
        <f t="shared" ca="1" si="76"/>
        <v>1817.630474347463</v>
      </c>
    </row>
    <row r="1020" spans="2:5" x14ac:dyDescent="0.2">
      <c r="B1020" s="156">
        <f t="shared" si="77"/>
        <v>945</v>
      </c>
      <c r="C1020">
        <f t="shared" ca="1" si="74"/>
        <v>14287.986283839382</v>
      </c>
      <c r="D1020">
        <f t="shared" ca="1" si="75"/>
        <v>12529.486078450682</v>
      </c>
      <c r="E1020">
        <f t="shared" ca="1" si="76"/>
        <v>1758.5002053887001</v>
      </c>
    </row>
    <row r="1021" spans="2:5" x14ac:dyDescent="0.2">
      <c r="B1021" s="156">
        <f t="shared" si="77"/>
        <v>946</v>
      </c>
      <c r="C1021">
        <f t="shared" ca="1" si="74"/>
        <v>15708.102235874088</v>
      </c>
      <c r="D1021">
        <f t="shared" ca="1" si="75"/>
        <v>11776.382514440318</v>
      </c>
      <c r="E1021">
        <f t="shared" ca="1" si="76"/>
        <v>3931.7197214337702</v>
      </c>
    </row>
    <row r="1022" spans="2:5" x14ac:dyDescent="0.2">
      <c r="B1022" s="156">
        <f t="shared" si="77"/>
        <v>947</v>
      </c>
      <c r="C1022">
        <f t="shared" ca="1" si="74"/>
        <v>15773.814553484648</v>
      </c>
      <c r="D1022">
        <f t="shared" ca="1" si="75"/>
        <v>10142.835340298559</v>
      </c>
      <c r="E1022">
        <f t="shared" ca="1" si="76"/>
        <v>5630.9792131860886</v>
      </c>
    </row>
    <row r="1023" spans="2:5" x14ac:dyDescent="0.2">
      <c r="B1023" s="156">
        <f t="shared" si="77"/>
        <v>948</v>
      </c>
      <c r="C1023">
        <f t="shared" ca="1" si="74"/>
        <v>15776.994976824109</v>
      </c>
      <c r="D1023">
        <f t="shared" ca="1" si="75"/>
        <v>11444.845896469869</v>
      </c>
      <c r="E1023">
        <f t="shared" ca="1" si="76"/>
        <v>4332.1490803542401</v>
      </c>
    </row>
    <row r="1024" spans="2:5" x14ac:dyDescent="0.2">
      <c r="B1024" s="156">
        <f t="shared" si="77"/>
        <v>949</v>
      </c>
      <c r="C1024">
        <f t="shared" ca="1" si="74"/>
        <v>17857.491104295415</v>
      </c>
      <c r="D1024">
        <f t="shared" ca="1" si="75"/>
        <v>11112.230863741306</v>
      </c>
      <c r="E1024">
        <f t="shared" ca="1" si="76"/>
        <v>6745.2602405541093</v>
      </c>
    </row>
    <row r="1025" spans="2:5" x14ac:dyDescent="0.2">
      <c r="B1025" s="156">
        <f t="shared" si="77"/>
        <v>950</v>
      </c>
      <c r="C1025">
        <f t="shared" ca="1" si="74"/>
        <v>15049.155774223891</v>
      </c>
      <c r="D1025">
        <f t="shared" ca="1" si="75"/>
        <v>10486.885869803085</v>
      </c>
      <c r="E1025">
        <f t="shared" ca="1" si="76"/>
        <v>4562.2699044208057</v>
      </c>
    </row>
    <row r="1026" spans="2:5" x14ac:dyDescent="0.2">
      <c r="B1026" s="156">
        <f t="shared" si="77"/>
        <v>951</v>
      </c>
      <c r="C1026">
        <f t="shared" ca="1" si="74"/>
        <v>16564.012526115705</v>
      </c>
      <c r="D1026">
        <f t="shared" ca="1" si="75"/>
        <v>8138.7282095428936</v>
      </c>
      <c r="E1026">
        <f t="shared" ca="1" si="76"/>
        <v>8425.2843165728118</v>
      </c>
    </row>
    <row r="1027" spans="2:5" x14ac:dyDescent="0.2">
      <c r="B1027" s="156">
        <f t="shared" si="77"/>
        <v>952</v>
      </c>
      <c r="C1027">
        <f t="shared" ca="1" si="74"/>
        <v>14528.860982627486</v>
      </c>
      <c r="D1027">
        <f t="shared" ca="1" si="75"/>
        <v>10530.334403563487</v>
      </c>
      <c r="E1027">
        <f t="shared" ca="1" si="76"/>
        <v>3998.5265790639987</v>
      </c>
    </row>
    <row r="1028" spans="2:5" x14ac:dyDescent="0.2">
      <c r="B1028" s="156">
        <f t="shared" si="77"/>
        <v>953</v>
      </c>
      <c r="C1028">
        <f t="shared" ca="1" si="74"/>
        <v>12681.992847017198</v>
      </c>
      <c r="D1028">
        <f t="shared" ca="1" si="75"/>
        <v>13208.201174325635</v>
      </c>
      <c r="E1028">
        <f t="shared" ca="1" si="76"/>
        <v>-526.20832730843722</v>
      </c>
    </row>
    <row r="1029" spans="2:5" x14ac:dyDescent="0.2">
      <c r="B1029" s="156">
        <f t="shared" si="77"/>
        <v>954</v>
      </c>
      <c r="C1029">
        <f t="shared" ca="1" si="74"/>
        <v>16753.288513105319</v>
      </c>
      <c r="D1029">
        <f t="shared" ca="1" si="75"/>
        <v>13084.137130768613</v>
      </c>
      <c r="E1029">
        <f t="shared" ca="1" si="76"/>
        <v>3669.1513823367059</v>
      </c>
    </row>
    <row r="1030" spans="2:5" x14ac:dyDescent="0.2">
      <c r="B1030" s="156">
        <f t="shared" si="77"/>
        <v>955</v>
      </c>
      <c r="C1030">
        <f t="shared" ca="1" si="74"/>
        <v>14050.547278739921</v>
      </c>
      <c r="D1030">
        <f t="shared" ca="1" si="75"/>
        <v>10739.433077768232</v>
      </c>
      <c r="E1030">
        <f t="shared" ca="1" si="76"/>
        <v>3311.1142009716896</v>
      </c>
    </row>
    <row r="1031" spans="2:5" x14ac:dyDescent="0.2">
      <c r="B1031" s="156">
        <f t="shared" si="77"/>
        <v>956</v>
      </c>
      <c r="C1031">
        <f t="shared" ca="1" si="74"/>
        <v>13063.158988590487</v>
      </c>
      <c r="D1031">
        <f t="shared" ca="1" si="75"/>
        <v>10856.630887651138</v>
      </c>
      <c r="E1031">
        <f t="shared" ca="1" si="76"/>
        <v>2206.5281009393493</v>
      </c>
    </row>
    <row r="1032" spans="2:5" x14ac:dyDescent="0.2">
      <c r="B1032" s="156">
        <f t="shared" si="77"/>
        <v>957</v>
      </c>
      <c r="C1032">
        <f t="shared" ca="1" si="74"/>
        <v>14189.299816345016</v>
      </c>
      <c r="D1032">
        <f t="shared" ca="1" si="75"/>
        <v>14323.385302030878</v>
      </c>
      <c r="E1032">
        <f t="shared" ca="1" si="76"/>
        <v>-134.0854856858623</v>
      </c>
    </row>
    <row r="1033" spans="2:5" x14ac:dyDescent="0.2">
      <c r="B1033" s="156">
        <f t="shared" si="77"/>
        <v>958</v>
      </c>
      <c r="C1033">
        <f t="shared" ca="1" si="74"/>
        <v>13501.092906056534</v>
      </c>
      <c r="D1033">
        <f t="shared" ca="1" si="75"/>
        <v>10436.597225752586</v>
      </c>
      <c r="E1033">
        <f t="shared" ca="1" si="76"/>
        <v>3064.4956803039477</v>
      </c>
    </row>
    <row r="1034" spans="2:5" x14ac:dyDescent="0.2">
      <c r="B1034" s="156">
        <f t="shared" si="77"/>
        <v>959</v>
      </c>
      <c r="C1034">
        <f t="shared" ca="1" si="74"/>
        <v>15362.698582360492</v>
      </c>
      <c r="D1034">
        <f t="shared" ca="1" si="75"/>
        <v>10895.528179263943</v>
      </c>
      <c r="E1034">
        <f t="shared" ca="1" si="76"/>
        <v>4467.1704030965484</v>
      </c>
    </row>
    <row r="1035" spans="2:5" x14ac:dyDescent="0.2">
      <c r="B1035" s="156">
        <f t="shared" si="77"/>
        <v>960</v>
      </c>
      <c r="C1035">
        <f t="shared" ca="1" si="74"/>
        <v>14204.180790314978</v>
      </c>
      <c r="D1035">
        <f t="shared" ca="1" si="75"/>
        <v>12976.435888816462</v>
      </c>
      <c r="E1035">
        <f t="shared" ca="1" si="76"/>
        <v>1227.7449014985159</v>
      </c>
    </row>
    <row r="1036" spans="2:5" x14ac:dyDescent="0.2">
      <c r="B1036" s="156">
        <f t="shared" si="77"/>
        <v>961</v>
      </c>
      <c r="C1036">
        <f t="shared" ca="1" si="74"/>
        <v>14628.44668838134</v>
      </c>
      <c r="D1036">
        <f t="shared" ca="1" si="75"/>
        <v>12025.329678598615</v>
      </c>
      <c r="E1036">
        <f t="shared" ca="1" si="76"/>
        <v>2603.1170097827253</v>
      </c>
    </row>
    <row r="1037" spans="2:5" x14ac:dyDescent="0.2">
      <c r="B1037" s="156">
        <f t="shared" si="77"/>
        <v>962</v>
      </c>
      <c r="C1037">
        <f t="shared" ref="C1037:C1075" ca="1" si="78">$C$70*(1+_xlfn.NORM.S.INV(RAND())*$C$72)</f>
        <v>15434.972225806425</v>
      </c>
      <c r="D1037">
        <f t="shared" ref="D1037:D1075" ca="1" si="79">$C$71*(1+_xlfn.NORM.S.INV(RAND())*$C$73)</f>
        <v>11452.889485547577</v>
      </c>
      <c r="E1037">
        <f t="shared" ref="E1037:E1075" ca="1" si="80">C1037-D1037</f>
        <v>3982.0827402588475</v>
      </c>
    </row>
    <row r="1038" spans="2:5" x14ac:dyDescent="0.2">
      <c r="B1038" s="156">
        <f t="shared" ref="B1038:B1099" si="81">B1037+1</f>
        <v>963</v>
      </c>
      <c r="C1038">
        <f t="shared" ca="1" si="78"/>
        <v>14963.720908774625</v>
      </c>
      <c r="D1038">
        <f t="shared" ca="1" si="79"/>
        <v>9534.5835623821877</v>
      </c>
      <c r="E1038">
        <f t="shared" ca="1" si="80"/>
        <v>5429.1373463924374</v>
      </c>
    </row>
    <row r="1039" spans="2:5" x14ac:dyDescent="0.2">
      <c r="B1039" s="156">
        <f t="shared" si="81"/>
        <v>964</v>
      </c>
      <c r="C1039">
        <f t="shared" ca="1" si="78"/>
        <v>16528.079476487699</v>
      </c>
      <c r="D1039">
        <f t="shared" ca="1" si="79"/>
        <v>12159.04145172642</v>
      </c>
      <c r="E1039">
        <f t="shared" ca="1" si="80"/>
        <v>4369.0380247612793</v>
      </c>
    </row>
    <row r="1040" spans="2:5" x14ac:dyDescent="0.2">
      <c r="B1040" s="156">
        <f t="shared" si="81"/>
        <v>965</v>
      </c>
      <c r="C1040">
        <f t="shared" ca="1" si="78"/>
        <v>13784.442400023112</v>
      </c>
      <c r="D1040">
        <f t="shared" ca="1" si="79"/>
        <v>11960.934183727702</v>
      </c>
      <c r="E1040">
        <f t="shared" ca="1" si="80"/>
        <v>1823.5082162954095</v>
      </c>
    </row>
    <row r="1041" spans="2:5" x14ac:dyDescent="0.2">
      <c r="B1041" s="156">
        <f t="shared" si="81"/>
        <v>966</v>
      </c>
      <c r="C1041">
        <f t="shared" ca="1" si="78"/>
        <v>16437.096971526742</v>
      </c>
      <c r="D1041">
        <f t="shared" ca="1" si="79"/>
        <v>11869.594357096857</v>
      </c>
      <c r="E1041">
        <f t="shared" ca="1" si="80"/>
        <v>4567.5026144298845</v>
      </c>
    </row>
    <row r="1042" spans="2:5" x14ac:dyDescent="0.2">
      <c r="B1042" s="156">
        <f t="shared" si="81"/>
        <v>967</v>
      </c>
      <c r="C1042">
        <f t="shared" ca="1" si="78"/>
        <v>16320.232426287455</v>
      </c>
      <c r="D1042">
        <f t="shared" ca="1" si="79"/>
        <v>10990.780577339759</v>
      </c>
      <c r="E1042">
        <f t="shared" ca="1" si="80"/>
        <v>5329.4518489476959</v>
      </c>
    </row>
    <row r="1043" spans="2:5" x14ac:dyDescent="0.2">
      <c r="B1043" s="156">
        <f t="shared" si="81"/>
        <v>968</v>
      </c>
      <c r="C1043">
        <f t="shared" ca="1" si="78"/>
        <v>14786.515447733658</v>
      </c>
      <c r="D1043">
        <f t="shared" ca="1" si="79"/>
        <v>12223.70045595462</v>
      </c>
      <c r="E1043">
        <f t="shared" ca="1" si="80"/>
        <v>2562.8149917790379</v>
      </c>
    </row>
    <row r="1044" spans="2:5" x14ac:dyDescent="0.2">
      <c r="B1044" s="156">
        <f t="shared" si="81"/>
        <v>969</v>
      </c>
      <c r="C1044">
        <f t="shared" ca="1" si="78"/>
        <v>17425.246493675979</v>
      </c>
      <c r="D1044">
        <f t="shared" ca="1" si="79"/>
        <v>14074.566896052829</v>
      </c>
      <c r="E1044">
        <f t="shared" ca="1" si="80"/>
        <v>3350.6795976231497</v>
      </c>
    </row>
    <row r="1045" spans="2:5" x14ac:dyDescent="0.2">
      <c r="B1045" s="156">
        <f t="shared" si="81"/>
        <v>970</v>
      </c>
      <c r="C1045">
        <f t="shared" ca="1" si="78"/>
        <v>13873.482527515862</v>
      </c>
      <c r="D1045">
        <f t="shared" ca="1" si="79"/>
        <v>12146.103279996221</v>
      </c>
      <c r="E1045">
        <f t="shared" ca="1" si="80"/>
        <v>1727.3792475196406</v>
      </c>
    </row>
    <row r="1046" spans="2:5" x14ac:dyDescent="0.2">
      <c r="B1046" s="156">
        <f t="shared" si="81"/>
        <v>971</v>
      </c>
      <c r="C1046">
        <f t="shared" ca="1" si="78"/>
        <v>15133.892219130285</v>
      </c>
      <c r="D1046">
        <f t="shared" ca="1" si="79"/>
        <v>10704.358530211761</v>
      </c>
      <c r="E1046">
        <f t="shared" ca="1" si="80"/>
        <v>4429.5336889185237</v>
      </c>
    </row>
    <row r="1047" spans="2:5" x14ac:dyDescent="0.2">
      <c r="B1047" s="156">
        <f t="shared" si="81"/>
        <v>972</v>
      </c>
      <c r="C1047">
        <f t="shared" ca="1" si="78"/>
        <v>12974.724101572998</v>
      </c>
      <c r="D1047">
        <f t="shared" ca="1" si="79"/>
        <v>12917.404242939683</v>
      </c>
      <c r="E1047">
        <f t="shared" ca="1" si="80"/>
        <v>57.319858633314652</v>
      </c>
    </row>
    <row r="1048" spans="2:5" x14ac:dyDescent="0.2">
      <c r="B1048" s="156">
        <f t="shared" si="81"/>
        <v>973</v>
      </c>
      <c r="C1048">
        <f t="shared" ca="1" si="78"/>
        <v>16170.443833983642</v>
      </c>
      <c r="D1048">
        <f t="shared" ca="1" si="79"/>
        <v>10904.916974103113</v>
      </c>
      <c r="E1048">
        <f t="shared" ca="1" si="80"/>
        <v>5265.5268598805287</v>
      </c>
    </row>
    <row r="1049" spans="2:5" x14ac:dyDescent="0.2">
      <c r="B1049" s="156">
        <f t="shared" si="81"/>
        <v>974</v>
      </c>
      <c r="C1049">
        <f t="shared" ca="1" si="78"/>
        <v>14522.906110271533</v>
      </c>
      <c r="D1049">
        <f t="shared" ca="1" si="79"/>
        <v>11812.137292748561</v>
      </c>
      <c r="E1049">
        <f t="shared" ca="1" si="80"/>
        <v>2710.7688175229723</v>
      </c>
    </row>
    <row r="1050" spans="2:5" x14ac:dyDescent="0.2">
      <c r="B1050" s="156">
        <f t="shared" si="81"/>
        <v>975</v>
      </c>
      <c r="C1050">
        <f t="shared" ca="1" si="78"/>
        <v>13799.498194112881</v>
      </c>
      <c r="D1050">
        <f t="shared" ca="1" si="79"/>
        <v>12402.63374815434</v>
      </c>
      <c r="E1050">
        <f t="shared" ca="1" si="80"/>
        <v>1396.8644459585412</v>
      </c>
    </row>
    <row r="1051" spans="2:5" x14ac:dyDescent="0.2">
      <c r="B1051" s="156">
        <f t="shared" si="81"/>
        <v>976</v>
      </c>
      <c r="C1051">
        <f t="shared" ca="1" si="78"/>
        <v>14994.108400207881</v>
      </c>
      <c r="D1051">
        <f t="shared" ca="1" si="79"/>
        <v>14159.063118760325</v>
      </c>
      <c r="E1051">
        <f t="shared" ca="1" si="80"/>
        <v>835.04528144755568</v>
      </c>
    </row>
    <row r="1052" spans="2:5" x14ac:dyDescent="0.2">
      <c r="B1052" s="156">
        <f t="shared" si="81"/>
        <v>977</v>
      </c>
      <c r="C1052">
        <f t="shared" ca="1" si="78"/>
        <v>13391.949118620354</v>
      </c>
      <c r="D1052">
        <f t="shared" ca="1" si="79"/>
        <v>11271.86480371568</v>
      </c>
      <c r="E1052">
        <f t="shared" ca="1" si="80"/>
        <v>2120.0843149046741</v>
      </c>
    </row>
    <row r="1053" spans="2:5" x14ac:dyDescent="0.2">
      <c r="B1053" s="156">
        <f t="shared" si="81"/>
        <v>978</v>
      </c>
      <c r="C1053">
        <f t="shared" ca="1" si="78"/>
        <v>14761.949273600465</v>
      </c>
      <c r="D1053">
        <f t="shared" ca="1" si="79"/>
        <v>10210.06823898364</v>
      </c>
      <c r="E1053">
        <f t="shared" ca="1" si="80"/>
        <v>4551.8810346168248</v>
      </c>
    </row>
    <row r="1054" spans="2:5" x14ac:dyDescent="0.2">
      <c r="B1054" s="156">
        <f t="shared" si="81"/>
        <v>979</v>
      </c>
      <c r="C1054">
        <f t="shared" ca="1" si="78"/>
        <v>12175.628113325891</v>
      </c>
      <c r="D1054">
        <f t="shared" ca="1" si="79"/>
        <v>13442.327391256407</v>
      </c>
      <c r="E1054">
        <f t="shared" ca="1" si="80"/>
        <v>-1266.6992779305165</v>
      </c>
    </row>
    <row r="1055" spans="2:5" x14ac:dyDescent="0.2">
      <c r="B1055" s="156">
        <f t="shared" si="81"/>
        <v>980</v>
      </c>
      <c r="C1055">
        <f t="shared" ca="1" si="78"/>
        <v>13642.462395710187</v>
      </c>
      <c r="D1055">
        <f t="shared" ca="1" si="79"/>
        <v>12999.725797540135</v>
      </c>
      <c r="E1055">
        <f t="shared" ca="1" si="80"/>
        <v>642.73659817005137</v>
      </c>
    </row>
    <row r="1056" spans="2:5" x14ac:dyDescent="0.2">
      <c r="B1056" s="156">
        <f t="shared" si="81"/>
        <v>981</v>
      </c>
      <c r="C1056">
        <f t="shared" ca="1" si="78"/>
        <v>14932.654854567301</v>
      </c>
      <c r="D1056">
        <f t="shared" ca="1" si="79"/>
        <v>15166.716827324799</v>
      </c>
      <c r="E1056">
        <f t="shared" ca="1" si="80"/>
        <v>-234.06197275749764</v>
      </c>
    </row>
    <row r="1057" spans="2:5" x14ac:dyDescent="0.2">
      <c r="B1057" s="156">
        <f t="shared" si="81"/>
        <v>982</v>
      </c>
      <c r="C1057">
        <f t="shared" ca="1" si="78"/>
        <v>16294.192105787821</v>
      </c>
      <c r="D1057">
        <f t="shared" ca="1" si="79"/>
        <v>11454.271979042229</v>
      </c>
      <c r="E1057">
        <f t="shared" ca="1" si="80"/>
        <v>4839.9201267455919</v>
      </c>
    </row>
    <row r="1058" spans="2:5" x14ac:dyDescent="0.2">
      <c r="B1058" s="156">
        <f t="shared" si="81"/>
        <v>983</v>
      </c>
      <c r="C1058">
        <f t="shared" ca="1" si="78"/>
        <v>14440.582961126036</v>
      </c>
      <c r="D1058">
        <f t="shared" ca="1" si="79"/>
        <v>9395.3312968961582</v>
      </c>
      <c r="E1058">
        <f t="shared" ca="1" si="80"/>
        <v>5045.2516642298779</v>
      </c>
    </row>
    <row r="1059" spans="2:5" x14ac:dyDescent="0.2">
      <c r="B1059" s="156">
        <f t="shared" si="81"/>
        <v>984</v>
      </c>
      <c r="C1059">
        <f t="shared" ca="1" si="78"/>
        <v>14445.621475816037</v>
      </c>
      <c r="D1059">
        <f t="shared" ca="1" si="79"/>
        <v>12356.454117334488</v>
      </c>
      <c r="E1059">
        <f t="shared" ca="1" si="80"/>
        <v>2089.1673584815489</v>
      </c>
    </row>
    <row r="1060" spans="2:5" x14ac:dyDescent="0.2">
      <c r="B1060" s="156">
        <f t="shared" si="81"/>
        <v>985</v>
      </c>
      <c r="C1060">
        <f t="shared" ca="1" si="78"/>
        <v>14892.437433509687</v>
      </c>
      <c r="D1060">
        <f t="shared" ca="1" si="79"/>
        <v>11267.701739219663</v>
      </c>
      <c r="E1060">
        <f t="shared" ca="1" si="80"/>
        <v>3624.7356942900242</v>
      </c>
    </row>
    <row r="1061" spans="2:5" x14ac:dyDescent="0.2">
      <c r="B1061" s="156">
        <f t="shared" si="81"/>
        <v>986</v>
      </c>
      <c r="C1061">
        <f t="shared" ca="1" si="78"/>
        <v>12482.65070613223</v>
      </c>
      <c r="D1061">
        <f t="shared" ca="1" si="79"/>
        <v>9731.9958985186822</v>
      </c>
      <c r="E1061">
        <f t="shared" ca="1" si="80"/>
        <v>2750.6548076135477</v>
      </c>
    </row>
    <row r="1062" spans="2:5" x14ac:dyDescent="0.2">
      <c r="B1062" s="156">
        <f t="shared" si="81"/>
        <v>987</v>
      </c>
      <c r="C1062">
        <f t="shared" ca="1" si="78"/>
        <v>14349.382601901902</v>
      </c>
      <c r="D1062">
        <f t="shared" ca="1" si="79"/>
        <v>14098.083123380246</v>
      </c>
      <c r="E1062">
        <f t="shared" ca="1" si="80"/>
        <v>251.29947852165606</v>
      </c>
    </row>
    <row r="1063" spans="2:5" x14ac:dyDescent="0.2">
      <c r="B1063" s="156">
        <f t="shared" si="81"/>
        <v>988</v>
      </c>
      <c r="C1063">
        <f t="shared" ca="1" si="78"/>
        <v>12722.659570700409</v>
      </c>
      <c r="D1063">
        <f t="shared" ca="1" si="79"/>
        <v>11979.553999449492</v>
      </c>
      <c r="E1063">
        <f t="shared" ca="1" si="80"/>
        <v>743.10557125091691</v>
      </c>
    </row>
    <row r="1064" spans="2:5" x14ac:dyDescent="0.2">
      <c r="B1064" s="156">
        <f t="shared" si="81"/>
        <v>989</v>
      </c>
      <c r="C1064">
        <f t="shared" ca="1" si="78"/>
        <v>13744.129728267482</v>
      </c>
      <c r="D1064">
        <f t="shared" ca="1" si="79"/>
        <v>13311.006607212219</v>
      </c>
      <c r="E1064">
        <f t="shared" ca="1" si="80"/>
        <v>433.12312105526325</v>
      </c>
    </row>
    <row r="1065" spans="2:5" x14ac:dyDescent="0.2">
      <c r="B1065" s="156">
        <f t="shared" si="81"/>
        <v>990</v>
      </c>
      <c r="C1065">
        <f t="shared" ca="1" si="78"/>
        <v>15393.642322677548</v>
      </c>
      <c r="D1065">
        <f t="shared" ca="1" si="79"/>
        <v>11817.849645426155</v>
      </c>
      <c r="E1065">
        <f t="shared" ca="1" si="80"/>
        <v>3575.7926772513929</v>
      </c>
    </row>
    <row r="1066" spans="2:5" x14ac:dyDescent="0.2">
      <c r="B1066" s="156">
        <f t="shared" si="81"/>
        <v>991</v>
      </c>
      <c r="C1066">
        <f t="shared" ca="1" si="78"/>
        <v>16274.765196875564</v>
      </c>
      <c r="D1066">
        <f t="shared" ca="1" si="79"/>
        <v>12846.598653451161</v>
      </c>
      <c r="E1066">
        <f t="shared" ca="1" si="80"/>
        <v>3428.1665434244023</v>
      </c>
    </row>
    <row r="1067" spans="2:5" x14ac:dyDescent="0.2">
      <c r="B1067" s="156">
        <f t="shared" si="81"/>
        <v>992</v>
      </c>
      <c r="C1067">
        <f t="shared" ca="1" si="78"/>
        <v>14370.973654854768</v>
      </c>
      <c r="D1067">
        <f t="shared" ca="1" si="79"/>
        <v>10388.688452872557</v>
      </c>
      <c r="E1067">
        <f t="shared" ca="1" si="80"/>
        <v>3982.2852019822112</v>
      </c>
    </row>
    <row r="1068" spans="2:5" x14ac:dyDescent="0.2">
      <c r="B1068" s="156">
        <f t="shared" si="81"/>
        <v>993</v>
      </c>
      <c r="C1068">
        <f t="shared" ca="1" si="78"/>
        <v>13954.241388351507</v>
      </c>
      <c r="D1068">
        <f t="shared" ca="1" si="79"/>
        <v>10944.74599266342</v>
      </c>
      <c r="E1068">
        <f t="shared" ca="1" si="80"/>
        <v>3009.4953956880872</v>
      </c>
    </row>
    <row r="1069" spans="2:5" x14ac:dyDescent="0.2">
      <c r="B1069" s="156">
        <f t="shared" si="81"/>
        <v>994</v>
      </c>
      <c r="C1069">
        <f t="shared" ca="1" si="78"/>
        <v>14486.087165751413</v>
      </c>
      <c r="D1069">
        <f t="shared" ca="1" si="79"/>
        <v>11244.928284848684</v>
      </c>
      <c r="E1069">
        <f t="shared" ca="1" si="80"/>
        <v>3241.1588809027289</v>
      </c>
    </row>
    <row r="1070" spans="2:5" x14ac:dyDescent="0.2">
      <c r="B1070" s="156">
        <f t="shared" si="81"/>
        <v>995</v>
      </c>
      <c r="C1070">
        <f t="shared" ca="1" si="78"/>
        <v>12323.895914711846</v>
      </c>
      <c r="D1070">
        <f t="shared" ca="1" si="79"/>
        <v>12532.801076345369</v>
      </c>
      <c r="E1070">
        <f t="shared" ca="1" si="80"/>
        <v>-208.90516163352368</v>
      </c>
    </row>
    <row r="1071" spans="2:5" x14ac:dyDescent="0.2">
      <c r="B1071" s="156">
        <f t="shared" si="81"/>
        <v>996</v>
      </c>
      <c r="C1071">
        <f t="shared" ca="1" si="78"/>
        <v>12391.015452804451</v>
      </c>
      <c r="D1071">
        <f t="shared" ca="1" si="79"/>
        <v>8535.071402551037</v>
      </c>
      <c r="E1071">
        <f t="shared" ca="1" si="80"/>
        <v>3855.9440502534144</v>
      </c>
    </row>
    <row r="1072" spans="2:5" x14ac:dyDescent="0.2">
      <c r="B1072" s="156">
        <f t="shared" si="81"/>
        <v>997</v>
      </c>
      <c r="C1072">
        <f t="shared" ca="1" si="78"/>
        <v>13408.419301112062</v>
      </c>
      <c r="D1072">
        <f t="shared" ca="1" si="79"/>
        <v>13294.780194939947</v>
      </c>
      <c r="E1072">
        <f t="shared" ca="1" si="80"/>
        <v>113.63910617211513</v>
      </c>
    </row>
    <row r="1073" spans="2:5" x14ac:dyDescent="0.2">
      <c r="B1073" s="156">
        <f t="shared" si="81"/>
        <v>998</v>
      </c>
      <c r="C1073">
        <f t="shared" ca="1" si="78"/>
        <v>17207.964994881888</v>
      </c>
      <c r="D1073">
        <f t="shared" ca="1" si="79"/>
        <v>10743.987930865535</v>
      </c>
      <c r="E1073">
        <f t="shared" ca="1" si="80"/>
        <v>6463.9770640163533</v>
      </c>
    </row>
    <row r="1074" spans="2:5" x14ac:dyDescent="0.2">
      <c r="B1074" s="156">
        <f t="shared" si="81"/>
        <v>999</v>
      </c>
      <c r="C1074">
        <f t="shared" ca="1" si="78"/>
        <v>15649.069782451043</v>
      </c>
      <c r="D1074">
        <f t="shared" ca="1" si="79"/>
        <v>13686.026461946309</v>
      </c>
      <c r="E1074">
        <f t="shared" ca="1" si="80"/>
        <v>1963.0433205047339</v>
      </c>
    </row>
    <row r="1075" spans="2:5" x14ac:dyDescent="0.2">
      <c r="B1075" s="156">
        <f t="shared" si="81"/>
        <v>1000</v>
      </c>
      <c r="C1075">
        <f t="shared" ca="1" si="78"/>
        <v>14586.183461533374</v>
      </c>
      <c r="D1075">
        <f t="shared" ca="1" si="79"/>
        <v>10984.848470331357</v>
      </c>
      <c r="E1075">
        <f t="shared" ca="1" si="80"/>
        <v>3601.3349912020167</v>
      </c>
    </row>
  </sheetData>
  <mergeCells count="12">
    <mergeCell ref="B38:F38"/>
    <mergeCell ref="H40:M49"/>
    <mergeCell ref="B52:F52"/>
    <mergeCell ref="H53:M62"/>
    <mergeCell ref="B68:F68"/>
    <mergeCell ref="J69:O78"/>
    <mergeCell ref="B2:D2"/>
    <mergeCell ref="B12:D12"/>
    <mergeCell ref="F12:K21"/>
    <mergeCell ref="B24:F24"/>
    <mergeCell ref="H25:M34"/>
    <mergeCell ref="M3:R12"/>
  </mergeCells>
  <conditionalFormatting sqref="G4:G9">
    <cfRule type="colorScale" priority="2">
      <colorScale>
        <cfvo type="min"/>
        <cfvo type="percentile" val="50"/>
        <cfvo type="max"/>
        <color rgb="FF63BE7B"/>
        <color rgb="FFFFEB84"/>
        <color rgb="FFF8696B"/>
      </colorScale>
    </cfRule>
    <cfRule type="colorScale" priority="1">
      <colorScale>
        <cfvo type="min"/>
        <cfvo type="max"/>
        <color theme="9" tint="0.59999389629810485"/>
        <color rgb="FFFF0000"/>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APPENDIX</vt:lpstr>
      <vt:lpstr>TESLA inc. HFP  </vt:lpstr>
      <vt:lpstr>tesla financial modeling </vt:lpstr>
      <vt:lpstr>TSLA forecastin &amp; evaluation </vt:lpstr>
      <vt:lpstr>TSLA scenario analysis </vt:lpstr>
      <vt:lpstr>Financial Risk Assesment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E. Anderson</dc:creator>
  <cp:lastModifiedBy>Mauricio E. Anderson</cp:lastModifiedBy>
  <dcterms:created xsi:type="dcterms:W3CDTF">2026-10-20T18:24:54Z</dcterms:created>
  <dcterms:modified xsi:type="dcterms:W3CDTF">2026-10-22T19:12:02Z</dcterms:modified>
</cp:coreProperties>
</file>